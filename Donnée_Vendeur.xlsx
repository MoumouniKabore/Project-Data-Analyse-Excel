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filterPrivacy="1" hidePivotFieldList="1" defaultThemeVersion="124226"/>
  <xr:revisionPtr revIDLastSave="0" documentId="13_ncr:1_{7FF195FF-BF8A-4978-A976-BC3ED1489A70}" xr6:coauthVersionLast="47" xr6:coauthVersionMax="47" xr10:uidLastSave="{00000000-0000-0000-0000-000000000000}"/>
  <bookViews>
    <workbookView xWindow="-120" yWindow="-120" windowWidth="20730" windowHeight="11040" activeTab="2" xr2:uid="{00000000-000D-0000-FFFF-FFFF00000000}"/>
  </bookViews>
  <sheets>
    <sheet name="SALES PERSON DATA" sheetId="1" r:id="rId1"/>
    <sheet name="TCD" sheetId="9" r:id="rId2"/>
    <sheet name="Dashboard" sheetId="8" r:id="rId3"/>
  </sheets>
  <definedNames>
    <definedName name="_xlcn.WorksheetConnection_Donnée_Vendeur.xlsxTable1" hidden="1">Table1[]</definedName>
    <definedName name="Segment_Country">#N/A</definedName>
    <definedName name="Segment_Order_Date__année">#N/A</definedName>
    <definedName name="Segment_Order_Date__mois">#N/A</definedName>
  </definedNames>
  <calcPr calcId="191029"/>
  <pivotCaches>
    <pivotCache cacheId="0" r:id="rId4"/>
    <pivotCache cacheId="1" r:id="rId5"/>
    <pivotCache cacheId="2" r:id="rId6"/>
    <pivotCache cacheId="3" r:id="rId7"/>
    <pivotCache cacheId="4" r:id="rId8"/>
    <pivotCache cacheId="5" r:id="rId9"/>
  </pivotCaches>
  <extLst>
    <ext xmlns:x14="http://schemas.microsoft.com/office/spreadsheetml/2009/9/main" uri="{876F7934-8845-4945-9796-88D515C7AA90}">
      <x14:pivotCaches>
        <pivotCache cacheId="6" r:id="rId10"/>
      </x14:pivotCaches>
    </ext>
    <ext xmlns:x14="http://schemas.microsoft.com/office/spreadsheetml/2009/9/main" uri="{BBE1A952-AA13-448e-AADC-164F8A28A991}">
      <x14:slicerCaches>
        <x14:slicerCache r:id="rId11"/>
        <x14:slicerCache r:id="rId12"/>
        <x14:slicerCache r:id="rId13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FCE2AD5D-F65C-4FA6-A056-5C36A1767C68}">
      <x15:dataModel>
        <x15:modelTables>
          <x15:modelTable id="Table1" name="Table1" connection="WorksheetConnection_Donnée_Vendeur.xlsx!Table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" columnName="Order Date" columnId="Order Date">
                <x16:calculatedTimeColumn columnName="Order Date (année)" columnId="Order Date (année)" contentType="years" isSelected="1"/>
                <x16:calculatedTimeColumn columnName="Order Date (trimestre)" columnId="Order Date (trimestre)" contentType="quarters" isSelected="1"/>
                <x16:calculatedTimeColumn columnName="Order Date (index des mois)" columnId="Order Date (index des mois)" contentType="monthsindex" isSelected="1"/>
                <x16:calculatedTimeColumn columnName="Order Date (mois)" columnId="Order Date (mois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62" i="8" l="1"/>
  <c r="L65" i="8"/>
  <c r="L59" i="8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090E393-7DCA-4369-B479-1C94FDCEEC27}" keepAlive="1" name="ThisWorkbookDataModel" description="Modèle de données" type="5" refreshedVersion="7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7E2A0918-DFA9-4FDF-9B3A-2F25DBAA27CF}" name="WorksheetConnection_Donnée_Vendeur.xlsx!Table1" type="102" refreshedVersion="7" minRefreshableVersion="5">
    <extLst>
      <ext xmlns:x15="http://schemas.microsoft.com/office/spreadsheetml/2010/11/main" uri="{DE250136-89BD-433C-8126-D09CA5730AF9}">
        <x15:connection id="Table1" autoDelete="1">
          <x15:rangePr sourceName="_xlcn.WorksheetConnection_Donnée_Vendeur.xlsxTable1"/>
        </x15:connection>
      </ext>
    </extLst>
  </connection>
</connections>
</file>

<file path=xl/sharedStrings.xml><?xml version="1.0" encoding="utf-8"?>
<sst xmlns="http://schemas.openxmlformats.org/spreadsheetml/2006/main" count="1663" uniqueCount="38">
  <si>
    <t>Country</t>
  </si>
  <si>
    <t>Salesperson</t>
  </si>
  <si>
    <t>Order Date</t>
  </si>
  <si>
    <t>OrderID</t>
  </si>
  <si>
    <t>Order Amount</t>
  </si>
  <si>
    <t>UK</t>
  </si>
  <si>
    <t>Buchanan</t>
  </si>
  <si>
    <t>Suyama</t>
  </si>
  <si>
    <t>USA</t>
  </si>
  <si>
    <t>Peacock</t>
  </si>
  <si>
    <t>Leverling</t>
  </si>
  <si>
    <t>Dodsworth</t>
  </si>
  <si>
    <t>Davolio</t>
  </si>
  <si>
    <t>Callahan</t>
  </si>
  <si>
    <t>Fuller</t>
  </si>
  <si>
    <t>King</t>
  </si>
  <si>
    <t>2003</t>
  </si>
  <si>
    <t>2004</t>
  </si>
  <si>
    <t>2005</t>
  </si>
  <si>
    <t>Étiquettes de lignes</t>
  </si>
  <si>
    <t>Total général</t>
  </si>
  <si>
    <t>Somme de Order Amount</t>
  </si>
  <si>
    <t>Étiquettes de colonnes</t>
  </si>
  <si>
    <t>Total distinct de Salesperson</t>
  </si>
  <si>
    <t>Total distinct de OrderID</t>
  </si>
  <si>
    <t xml:space="preserve"> 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</si>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</sst>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$-409]#,##0.00"/>
  </numFmts>
  <fonts count="5" x14ac:knownFonts="1">
    <font>
      <sz val="11"/>
      <color theme="1"/>
      <name val="Calibri"/>
      <family val="2"/>
      <scheme val="minor"/>
    </font>
    <font>
      <sz val="8"/>
      <name val="Tahoma"/>
    </font>
    <font>
      <b/>
      <sz val="8"/>
      <name val="Tahoma"/>
      <family val="2"/>
    </font>
    <font>
      <sz val="8"/>
      <name val="Tahoma"/>
      <family val="2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7">
    <xf numFmtId="0" fontId="0" fillId="0" borderId="0" xfId="0"/>
    <xf numFmtId="14" fontId="3" fillId="0" borderId="0" xfId="1" applyNumberFormat="1" applyFont="1"/>
    <xf numFmtId="49" fontId="2" fillId="0" borderId="0" xfId="1" applyNumberFormat="1" applyFont="1"/>
    <xf numFmtId="49" fontId="3" fillId="0" borderId="0" xfId="1" quotePrefix="1" applyNumberFormat="1" applyFont="1"/>
    <xf numFmtId="49" fontId="0" fillId="0" borderId="0" xfId="0" applyNumberFormat="1"/>
    <xf numFmtId="14" fontId="2" fillId="0" borderId="0" xfId="1" applyNumberFormat="1" applyFont="1"/>
    <xf numFmtId="14" fontId="0" fillId="0" borderId="0" xfId="0" applyNumberFormat="1"/>
    <xf numFmtId="49" fontId="2" fillId="0" borderId="0" xfId="1" quotePrefix="1" applyNumberFormat="1" applyFont="1"/>
    <xf numFmtId="164" fontId="2" fillId="0" borderId="0" xfId="1" applyNumberFormat="1" applyFont="1"/>
    <xf numFmtId="164" fontId="3" fillId="0" borderId="0" xfId="1" applyNumberFormat="1" applyFon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0" fontId="0" fillId="0" borderId="0" xfId="0" applyNumberFormat="1"/>
    <xf numFmtId="0" fontId="0" fillId="0" borderId="0" xfId="0" applyBorder="1"/>
    <xf numFmtId="0" fontId="0" fillId="0" borderId="0" xfId="0" applyBorder="1" applyAlignment="1"/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0" xfId="0" applyFont="1" applyBorder="1" applyAlignment="1"/>
    <xf numFmtId="0" fontId="4" fillId="0" borderId="6" xfId="0" applyFont="1" applyBorder="1"/>
    <xf numFmtId="0" fontId="4" fillId="0" borderId="7" xfId="0" applyFont="1" applyBorder="1" applyAlignment="1"/>
    <xf numFmtId="0" fontId="4" fillId="0" borderId="8" xfId="0" applyFont="1" applyBorder="1"/>
    <xf numFmtId="0" fontId="4" fillId="0" borderId="0" xfId="0" applyFont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ahoma"/>
        <family val="2"/>
        <scheme val="none"/>
      </font>
      <numFmt numFmtId="30" formatCode="@"/>
    </dxf>
    <dxf>
      <font>
        <b/>
        <i val="0"/>
        <color theme="0"/>
      </font>
    </dxf>
    <dxf>
      <font>
        <color theme="0"/>
      </font>
      <fill>
        <patternFill>
          <bgColor theme="7" tint="-0.24994659260841701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Medium9">
    <tableStyle name="Style de segment 1" pivot="0" table="0" count="10" xr9:uid="{D108AD45-84EA-4E71-B90B-6C0E0BE412DC}">
      <tableStyleElement type="wholeTable" dxfId="8"/>
      <tableStyleElement type="headerRow" dxfId="7"/>
    </tableStyle>
  </tableStyles>
  <extLst>
    <ext xmlns:x14="http://schemas.microsoft.com/office/spreadsheetml/2009/9/main" uri="{46F421CA-312F-682f-3DD2-61675219B42D}">
      <x14:dxfs count="8">
        <dxf>
          <font>
            <b/>
            <i val="0"/>
            <color theme="0" tint="-0.34998626667073579"/>
          </font>
          <fill>
            <patternFill patternType="solid">
              <fgColor auto="1"/>
              <bgColor theme="7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 tint="-0.34998626667073579"/>
          </font>
          <fill>
            <patternFill patternType="solid">
              <bgColor theme="7" tint="-0.24994659260841701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>
              <bgColor theme="6" tint="0.39994506668294322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>
              <bgColor rgb="FF92D05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 tint="-0.34998626667073579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fill>
            <patternFill>
              <bgColor rgb="FF92D05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 tint="-0.34998626667073579"/>
          </font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color theme="0"/>
          </font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tyle de segment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microsoft.com/office/2007/relationships/slicerCache" Target="slicerCaches/slicerCache3.xml"/><Relationship Id="rId1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4.xml"/><Relationship Id="rId12" Type="http://schemas.microsoft.com/office/2007/relationships/slicerCache" Target="slicerCaches/slicerCache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microsoft.com/office/2007/relationships/slicerCache" Target="slicerCaches/slicerCache1.xml"/><Relationship Id="rId5" Type="http://schemas.openxmlformats.org/officeDocument/2006/relationships/pivotCacheDefinition" Target="pivotCache/pivotCacheDefinition2.xml"/><Relationship Id="rId15" Type="http://schemas.openxmlformats.org/officeDocument/2006/relationships/connections" Target="connections.xml"/><Relationship Id="rId10" Type="http://schemas.openxmlformats.org/officeDocument/2006/relationships/pivotCacheDefinition" Target="pivotCache/pivotCacheDefinition7.xml"/><Relationship Id="rId19" Type="http://schemas.openxmlformats.org/officeDocument/2006/relationships/calcChain" Target="calcChain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[Donnée_Vendeur.xlsx]TCD!Tableau croisé dynamique5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Évolution</a:t>
            </a:r>
            <a:r>
              <a:rPr lang="en-US" sz="1100" baseline="0"/>
              <a:t> du CA par année</a:t>
            </a:r>
            <a:endParaRPr lang="en-US" sz="1100"/>
          </a:p>
        </c:rich>
      </c:tx>
      <c:layout>
        <c:manualLayout>
          <c:xMode val="edge"/>
          <c:yMode val="edge"/>
          <c:x val="0.16570646387580965"/>
          <c:y val="2.108222066057624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2683970592677464"/>
          <c:y val="0.23210066193798445"/>
          <c:w val="0.63111909452525095"/>
          <c:h val="0.52065159817689532"/>
        </c:manualLayout>
      </c:layout>
      <c:lineChart>
        <c:grouping val="standard"/>
        <c:varyColors val="0"/>
        <c:ser>
          <c:idx val="0"/>
          <c:order val="0"/>
          <c:tx>
            <c:strRef>
              <c:f>TCD!$B$21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TCD!$A$22:$A$24</c:f>
              <c:strCache>
                <c:ptCount val="3"/>
                <c:pt idx="0">
                  <c:v>2003</c:v>
                </c:pt>
                <c:pt idx="1">
                  <c:v>2004</c:v>
                </c:pt>
                <c:pt idx="2">
                  <c:v>2005</c:v>
                </c:pt>
              </c:strCache>
            </c:strRef>
          </c:cat>
          <c:val>
            <c:numRef>
              <c:f>TCD!$B$22:$B$24</c:f>
              <c:numCache>
                <c:formatCode>General</c:formatCode>
                <c:ptCount val="3"/>
                <c:pt idx="0">
                  <c:v>193316.54</c:v>
                </c:pt>
                <c:pt idx="1">
                  <c:v>609190.76</c:v>
                </c:pt>
                <c:pt idx="2">
                  <c:v>425820.1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1E-4684-A42F-DD4BFCC6B3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577104"/>
        <c:axId val="1777587088"/>
      </c:lineChart>
      <c:catAx>
        <c:axId val="177757710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Années</a:t>
                </a:r>
              </a:p>
            </c:rich>
          </c:tx>
          <c:layout>
            <c:manualLayout>
              <c:xMode val="edge"/>
              <c:yMode val="edge"/>
              <c:x val="0.54579614900956974"/>
              <c:y val="0.8736118104702829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587088"/>
        <c:crosses val="autoZero"/>
        <c:auto val="1"/>
        <c:lblAlgn val="ctr"/>
        <c:lblOffset val="100"/>
        <c:noMultiLvlLbl val="0"/>
      </c:catAx>
      <c:valAx>
        <c:axId val="1777587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3.0033521666899866E-2"/>
              <c:y val="0.2418915161971838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577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[Donnée_Vendeur.xlsx]TCD!Tableau croisé dynamique4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Répartition du CA </a:t>
            </a:r>
            <a:r>
              <a:rPr lang="en-US" sz="1100" baseline="0"/>
              <a:t>par vendeur </a:t>
            </a:r>
            <a:endParaRPr lang="en-US" sz="1100"/>
          </a:p>
        </c:rich>
      </c:tx>
      <c:layout>
        <c:manualLayout>
          <c:xMode val="edge"/>
          <c:yMode val="edge"/>
          <c:x val="0.29974805284940026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6395602454268607"/>
          <c:y val="0.15021847865273788"/>
          <c:w val="0.81060733290260845"/>
          <c:h val="0.4978599978394727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TCD!$B$8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cat>
            <c:strRef>
              <c:f>TCD!$A$9:$A$17</c:f>
              <c:strCache>
                <c:ptCount val="9"/>
                <c:pt idx="0">
                  <c:v>Buchanan</c:v>
                </c:pt>
                <c:pt idx="1">
                  <c:v>Callahan</c:v>
                </c:pt>
                <c:pt idx="2">
                  <c:v>Davolio</c:v>
                </c:pt>
                <c:pt idx="3">
                  <c:v>Dodsworth</c:v>
                </c:pt>
                <c:pt idx="4">
                  <c:v>Fuller</c:v>
                </c:pt>
                <c:pt idx="5">
                  <c:v>King</c:v>
                </c:pt>
                <c:pt idx="6">
                  <c:v>Leverling</c:v>
                </c:pt>
                <c:pt idx="7">
                  <c:v>Peacock</c:v>
                </c:pt>
                <c:pt idx="8">
                  <c:v>Suyama</c:v>
                </c:pt>
              </c:strCache>
            </c:strRef>
          </c:cat>
          <c:val>
            <c:numRef>
              <c:f>TCD!$B$9:$B$17</c:f>
              <c:numCache>
                <c:formatCode>General</c:formatCode>
                <c:ptCount val="9"/>
                <c:pt idx="0">
                  <c:v>68792.25</c:v>
                </c:pt>
                <c:pt idx="1">
                  <c:v>123032.67</c:v>
                </c:pt>
                <c:pt idx="2">
                  <c:v>182500.09</c:v>
                </c:pt>
                <c:pt idx="3">
                  <c:v>75048.039999999994</c:v>
                </c:pt>
                <c:pt idx="4">
                  <c:v>162503.78</c:v>
                </c:pt>
                <c:pt idx="5">
                  <c:v>116962.99</c:v>
                </c:pt>
                <c:pt idx="6">
                  <c:v>201196.27</c:v>
                </c:pt>
                <c:pt idx="7">
                  <c:v>225763.68</c:v>
                </c:pt>
                <c:pt idx="8">
                  <c:v>72527.63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84-468A-BBB8-8F2D6C8B9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77575440"/>
        <c:axId val="1777588336"/>
      </c:barChart>
      <c:catAx>
        <c:axId val="17775754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Vendeurs</a:t>
                </a:r>
              </a:p>
            </c:rich>
          </c:tx>
          <c:layout>
            <c:manualLayout>
              <c:xMode val="edge"/>
              <c:yMode val="edge"/>
              <c:x val="0.48286408437290629"/>
              <c:y val="0.8865155469649708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588336"/>
        <c:crosses val="autoZero"/>
        <c:auto val="1"/>
        <c:lblAlgn val="ctr"/>
        <c:lblOffset val="100"/>
        <c:noMultiLvlLbl val="0"/>
      </c:catAx>
      <c:valAx>
        <c:axId val="1777588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5646593180015513E-2"/>
              <c:y val="0.145838170813102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575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[Donnée_Vendeur.xlsx]TCD!Tableau croisé dynamique2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Répartition en pourcentage</a:t>
            </a:r>
            <a:r>
              <a:rPr lang="en-US" sz="1100" baseline="0"/>
              <a:t> du CA par pays</a:t>
            </a:r>
            <a:endParaRPr lang="en-US" sz="1100"/>
          </a:p>
        </c:rich>
      </c:tx>
      <c:layout>
        <c:manualLayout>
          <c:xMode val="edge"/>
          <c:yMode val="edge"/>
          <c:x val="0.10828110059312701"/>
          <c:y val="2.00777181594265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2216407777863133"/>
          <c:y val="0.35102416923628094"/>
          <c:w val="0.45087977150282615"/>
          <c:h val="0.50808587596076982"/>
        </c:manualLayout>
      </c:layout>
      <c:pieChart>
        <c:varyColors val="1"/>
        <c:ser>
          <c:idx val="0"/>
          <c:order val="0"/>
          <c:tx>
            <c:strRef>
              <c:f>TCD!$B$2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C566-4850-9667-ADB29C269B69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>
                <a:noFill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C566-4850-9667-ADB29C269B6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tx2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TCD!$A$3:$A$4</c:f>
              <c:strCache>
                <c:ptCount val="2"/>
                <c:pt idx="0">
                  <c:v>UK</c:v>
                </c:pt>
                <c:pt idx="1">
                  <c:v>USA</c:v>
                </c:pt>
              </c:strCache>
            </c:strRef>
          </c:cat>
          <c:val>
            <c:numRef>
              <c:f>TCD!$B$3:$B$4</c:f>
              <c:numCache>
                <c:formatCode>0.00%</c:formatCode>
                <c:ptCount val="2"/>
                <c:pt idx="0">
                  <c:v>0.27136975858390849</c:v>
                </c:pt>
                <c:pt idx="1">
                  <c:v>0.72863024141609156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6B81-470F-85E2-BE6861D96FD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6969020465964135"/>
          <c:y val="0.67009642452020279"/>
          <c:w val="0.21714574278814122"/>
          <c:h val="0.2582753398193321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[Donnée_Vendeur.xlsx]TCD!Tableau croisé dynamique3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 sz="1100"/>
              <a:t>Évolution du CA</a:t>
            </a:r>
            <a:r>
              <a:rPr lang="en-US" sz="1100" baseline="0"/>
              <a:t> par mois</a:t>
            </a:r>
            <a:endParaRPr lang="en-US" sz="1100"/>
          </a:p>
        </c:rich>
      </c:tx>
      <c:layout>
        <c:manualLayout>
          <c:xMode val="edge"/>
          <c:yMode val="edge"/>
          <c:x val="0.32912033972627225"/>
          <c:y val="1.7489130115455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7562330479648722"/>
          <c:y val="0.15398311514159518"/>
          <c:w val="0.79377799570622065"/>
          <c:h val="0.59427068217851442"/>
        </c:manualLayout>
      </c:layout>
      <c:lineChart>
        <c:grouping val="standard"/>
        <c:varyColors val="0"/>
        <c:ser>
          <c:idx val="0"/>
          <c:order val="0"/>
          <c:tx>
            <c:strRef>
              <c:f>TCD!$E$2</c:f>
              <c:strCache>
                <c:ptCount val="1"/>
                <c:pt idx="0">
                  <c:v>Total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TCD!$D$3:$D$14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TCD!$E$3:$E$14</c:f>
              <c:numCache>
                <c:formatCode>General</c:formatCode>
                <c:ptCount val="12"/>
                <c:pt idx="0">
                  <c:v>148398.03</c:v>
                </c:pt>
                <c:pt idx="1">
                  <c:v>146591.25</c:v>
                </c:pt>
                <c:pt idx="2">
                  <c:v>125043.89</c:v>
                </c:pt>
                <c:pt idx="3">
                  <c:v>174498.38</c:v>
                </c:pt>
                <c:pt idx="4">
                  <c:v>70907.570000000007</c:v>
                </c:pt>
                <c:pt idx="5">
                  <c:v>50082.98</c:v>
                </c:pt>
                <c:pt idx="6">
                  <c:v>58255.21</c:v>
                </c:pt>
                <c:pt idx="7">
                  <c:v>81512.73</c:v>
                </c:pt>
                <c:pt idx="8">
                  <c:v>68537.429999999993</c:v>
                </c:pt>
                <c:pt idx="9">
                  <c:v>117996.88</c:v>
                </c:pt>
                <c:pt idx="10">
                  <c:v>79904.009999999995</c:v>
                </c:pt>
                <c:pt idx="11">
                  <c:v>106599.03999999999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156-4806-9703-42A785013C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77604976"/>
        <c:axId val="1777600816"/>
      </c:lineChart>
      <c:catAx>
        <c:axId val="177760497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Mois</a:t>
                </a:r>
              </a:p>
            </c:rich>
          </c:tx>
          <c:layout>
            <c:manualLayout>
              <c:xMode val="edge"/>
              <c:yMode val="edge"/>
              <c:x val="0.47889962190820923"/>
              <c:y val="0.889322725403214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600816"/>
        <c:crosses val="autoZero"/>
        <c:auto val="1"/>
        <c:lblAlgn val="ctr"/>
        <c:lblOffset val="100"/>
        <c:noMultiLvlLbl val="0"/>
      </c:catAx>
      <c:valAx>
        <c:axId val="1777600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</a:t>
                </a:r>
                <a:r>
                  <a:rPr lang="fr-CI" baseline="0"/>
                  <a:t> d'affaires</a:t>
                </a:r>
                <a:endParaRPr lang="fr-CI"/>
              </a:p>
            </c:rich>
          </c:tx>
          <c:layout>
            <c:manualLayout>
              <c:xMode val="edge"/>
              <c:yMode val="edge"/>
              <c:x val="1.668975114342813E-2"/>
              <c:y val="0.2084058306880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776049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[Donnée_Vendeur.xlsx]TCD!Tableau croisé dynamique6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fr-CI" sz="1100"/>
              <a:t>Évolution</a:t>
            </a:r>
            <a:r>
              <a:rPr lang="fr-CI" sz="1100" baseline="0"/>
              <a:t> du CA en fonction de l'années</a:t>
            </a:r>
            <a:endParaRPr lang="fr-CI" sz="1100"/>
          </a:p>
        </c:rich>
      </c:tx>
      <c:layout>
        <c:manualLayout>
          <c:xMode val="edge"/>
          <c:yMode val="edge"/>
          <c:x val="0.30552476392116823"/>
          <c:y val="2.330949921743403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 w="31750" cap="rnd">
            <a:solidFill>
              <a:schemeClr val="accent1"/>
            </a:solidFill>
            <a:round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12700">
              <a:solidFill>
                <a:schemeClr val="l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328184677161658"/>
          <c:y val="0.15479211508818405"/>
          <c:w val="0.69321607864538715"/>
          <c:h val="0.6009645095016779"/>
        </c:manualLayout>
      </c:layout>
      <c:lineChart>
        <c:grouping val="standard"/>
        <c:varyColors val="0"/>
        <c:ser>
          <c:idx val="0"/>
          <c:order val="0"/>
          <c:tx>
            <c:strRef>
              <c:f>TCD!$H$2:$H$3</c:f>
              <c:strCache>
                <c:ptCount val="1"/>
                <c:pt idx="0">
                  <c:v>2003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hade val="51000"/>
                      <a:satMod val="130000"/>
                    </a:schemeClr>
                  </a:gs>
                  <a:gs pos="80000">
                    <a:schemeClr val="accent1">
                      <a:shade val="93000"/>
                      <a:satMod val="130000"/>
                    </a:schemeClr>
                  </a:gs>
                  <a:gs pos="100000">
                    <a:schemeClr val="accent1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TCD!$H$4:$H$15</c:f>
              <c:numCache>
                <c:formatCode>General</c:formatCode>
                <c:ptCount val="12"/>
                <c:pt idx="6">
                  <c:v>20710.27</c:v>
                </c:pt>
                <c:pt idx="7">
                  <c:v>25244.77</c:v>
                </c:pt>
                <c:pt idx="8">
                  <c:v>18030.12</c:v>
                </c:pt>
                <c:pt idx="9">
                  <c:v>43691.7</c:v>
                </c:pt>
                <c:pt idx="10">
                  <c:v>39460.9</c:v>
                </c:pt>
                <c:pt idx="11">
                  <c:v>46178.78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78-4658-BFA4-CAC6027C8D3D}"/>
            </c:ext>
          </c:extLst>
        </c:ser>
        <c:ser>
          <c:idx val="1"/>
          <c:order val="1"/>
          <c:tx>
            <c:strRef>
              <c:f>TCD!$I$2:$I$3</c:f>
              <c:strCache>
                <c:ptCount val="1"/>
                <c:pt idx="0">
                  <c:v>2004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hade val="51000"/>
                      <a:satMod val="130000"/>
                    </a:schemeClr>
                  </a:gs>
                  <a:gs pos="80000">
                    <a:schemeClr val="accent2">
                      <a:shade val="93000"/>
                      <a:satMod val="130000"/>
                    </a:schemeClr>
                  </a:gs>
                  <a:gs pos="100000">
                    <a:schemeClr val="accent2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TCD!$I$4:$I$15</c:f>
              <c:numCache>
                <c:formatCode>General</c:formatCode>
                <c:ptCount val="12"/>
                <c:pt idx="0">
                  <c:v>65090.45</c:v>
                </c:pt>
                <c:pt idx="1">
                  <c:v>31442.47</c:v>
                </c:pt>
                <c:pt idx="2">
                  <c:v>47514.31</c:v>
                </c:pt>
                <c:pt idx="3">
                  <c:v>31596.44</c:v>
                </c:pt>
                <c:pt idx="4">
                  <c:v>63975.35</c:v>
                </c:pt>
                <c:pt idx="5">
                  <c:v>50082.98</c:v>
                </c:pt>
                <c:pt idx="6">
                  <c:v>37544.94</c:v>
                </c:pt>
                <c:pt idx="7">
                  <c:v>56267.96</c:v>
                </c:pt>
                <c:pt idx="8">
                  <c:v>50507.31</c:v>
                </c:pt>
                <c:pt idx="9">
                  <c:v>74305.179999999993</c:v>
                </c:pt>
                <c:pt idx="10">
                  <c:v>40443.11</c:v>
                </c:pt>
                <c:pt idx="11">
                  <c:v>60420.26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E14-4D71-967C-A073D25B8C76}"/>
            </c:ext>
          </c:extLst>
        </c:ser>
        <c:ser>
          <c:idx val="2"/>
          <c:order val="2"/>
          <c:tx>
            <c:strRef>
              <c:f>TCD!$J$2:$J$3</c:f>
              <c:strCache>
                <c:ptCount val="1"/>
                <c:pt idx="0">
                  <c:v>2005</c:v>
                </c:pt>
              </c:strCache>
            </c:strRef>
          </c:tx>
          <c:spPr>
            <a:ln w="31750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3">
                      <a:shade val="51000"/>
                      <a:satMod val="130000"/>
                    </a:schemeClr>
                  </a:gs>
                  <a:gs pos="80000">
                    <a:schemeClr val="accent3">
                      <a:shade val="93000"/>
                      <a:satMod val="130000"/>
                    </a:schemeClr>
                  </a:gs>
                  <a:gs pos="100000">
                    <a:schemeClr val="accent3">
                      <a:shade val="94000"/>
                      <a:satMod val="135000"/>
                    </a:schemeClr>
                  </a:gs>
                </a:gsLst>
                <a:lin ang="16200000" scaled="0"/>
              </a:gradFill>
              <a:ln w="12700">
                <a:solidFill>
                  <a:schemeClr val="lt2"/>
                </a:solidFill>
                <a:round/>
              </a:ln>
              <a:effectLst>
                <a:outerShdw blurRad="40000" dist="23000" dir="5400000" rotWithShape="0">
                  <a:srgbClr val="000000">
                    <a:alpha val="35000"/>
                  </a:srgbClr>
                </a:outerShdw>
              </a:effectLst>
            </c:spPr>
          </c:marker>
          <c:cat>
            <c:strRef>
              <c:f>TCD!$G$4:$G$15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TCD!$J$4:$J$15</c:f>
              <c:numCache>
                <c:formatCode>General</c:formatCode>
                <c:ptCount val="12"/>
                <c:pt idx="0">
                  <c:v>83307.58</c:v>
                </c:pt>
                <c:pt idx="1">
                  <c:v>115148.78</c:v>
                </c:pt>
                <c:pt idx="2">
                  <c:v>77529.58</c:v>
                </c:pt>
                <c:pt idx="3">
                  <c:v>142901.94</c:v>
                </c:pt>
                <c:pt idx="4">
                  <c:v>6932.22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14-4D71-967C-A073D25B8C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9678960"/>
        <c:axId val="1789668560"/>
      </c:lineChart>
      <c:catAx>
        <c:axId val="1789678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Mois</a:t>
                </a:r>
              </a:p>
            </c:rich>
          </c:tx>
          <c:layout>
            <c:manualLayout>
              <c:xMode val="edge"/>
              <c:yMode val="edge"/>
              <c:x val="0.43468803602692635"/>
              <c:y val="0.877712310306331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9668560"/>
        <c:crosses val="autoZero"/>
        <c:auto val="1"/>
        <c:lblAlgn val="ctr"/>
        <c:lblOffset val="100"/>
        <c:noMultiLvlLbl val="0"/>
      </c:catAx>
      <c:valAx>
        <c:axId val="178966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CI"/>
                  <a:t>Chiffre d'affaires</a:t>
                </a:r>
              </a:p>
            </c:rich>
          </c:tx>
          <c:layout>
            <c:manualLayout>
              <c:xMode val="edge"/>
              <c:yMode val="edge"/>
              <c:x val="1.5435341385380308E-2"/>
              <c:y val="0.2383314272947773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7896789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>
      <a:outerShdw blurRad="63500" sx="102000" sy="102000" algn="ctr" rotWithShape="0">
        <a:prstClr val="black">
          <a:alpha val="40000"/>
        </a:prstClr>
      </a:outerShdw>
    </a:effectLst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5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137583</xdr:colOff>
      <xdr:row>1</xdr:row>
      <xdr:rowOff>63501</xdr:rowOff>
    </xdr:from>
    <xdr:to>
      <xdr:col>71</xdr:col>
      <xdr:colOff>74083</xdr:colOff>
      <xdr:row>43</xdr:row>
      <xdr:rowOff>95251</xdr:rowOff>
    </xdr:to>
    <xdr:sp macro="" textlink="">
      <xdr:nvSpPr>
        <xdr:cNvPr id="27" name="Rectangle : coins arrondis 26">
          <a:extLst>
            <a:ext uri="{FF2B5EF4-FFF2-40B4-BE49-F238E27FC236}">
              <a16:creationId xmlns:a16="http://schemas.microsoft.com/office/drawing/2014/main" id="{0F148A14-0510-46B3-BF14-1BCF33886BE7}"/>
            </a:ext>
          </a:extLst>
        </xdr:cNvPr>
        <xdr:cNvSpPr/>
      </xdr:nvSpPr>
      <xdr:spPr>
        <a:xfrm>
          <a:off x="137583" y="190501"/>
          <a:ext cx="11811000" cy="5365750"/>
        </a:xfrm>
        <a:prstGeom prst="roundRect">
          <a:avLst>
            <a:gd name="adj" fmla="val 1630"/>
          </a:avLst>
        </a:prstGeom>
        <a:solidFill>
          <a:schemeClr val="accent5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55</xdr:col>
      <xdr:colOff>95250</xdr:colOff>
      <xdr:row>9</xdr:row>
      <xdr:rowOff>2191</xdr:rowOff>
    </xdr:from>
    <xdr:to>
      <xdr:col>69</xdr:col>
      <xdr:colOff>177542</xdr:colOff>
      <xdr:row>23</xdr:row>
      <xdr:rowOff>124980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8F55CA76-360C-4C32-A079-C6DA7ACFE4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128427</xdr:colOff>
      <xdr:row>9</xdr:row>
      <xdr:rowOff>2191</xdr:rowOff>
    </xdr:from>
    <xdr:to>
      <xdr:col>54</xdr:col>
      <xdr:colOff>148167</xdr:colOff>
      <xdr:row>23</xdr:row>
      <xdr:rowOff>124980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D0F7B90E-DAE8-4456-AA7D-A1A015DF2B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952</xdr:colOff>
      <xdr:row>9</xdr:row>
      <xdr:rowOff>2191</xdr:rowOff>
    </xdr:from>
    <xdr:to>
      <xdr:col>28</xdr:col>
      <xdr:colOff>160533</xdr:colOff>
      <xdr:row>23</xdr:row>
      <xdr:rowOff>121817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3D6A50C9-D9EA-460B-A52D-F0E580AAB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171451</xdr:colOff>
      <xdr:row>25</xdr:row>
      <xdr:rowOff>5684</xdr:rowOff>
    </xdr:from>
    <xdr:to>
      <xdr:col>41</xdr:col>
      <xdr:colOff>120315</xdr:colOff>
      <xdr:row>42</xdr:row>
      <xdr:rowOff>921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87D37484-9C4D-4EBC-A60A-3B5D9000E7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42</xdr:col>
      <xdr:colOff>80212</xdr:colOff>
      <xdr:row>25</xdr:row>
      <xdr:rowOff>5684</xdr:rowOff>
    </xdr:from>
    <xdr:to>
      <xdr:col>69</xdr:col>
      <xdr:colOff>174720</xdr:colOff>
      <xdr:row>42</xdr:row>
      <xdr:rowOff>1794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F94C581C-BF75-4475-9BDE-D7D0624D02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173425</xdr:colOff>
      <xdr:row>3</xdr:row>
      <xdr:rowOff>3819</xdr:rowOff>
    </xdr:from>
    <xdr:to>
      <xdr:col>16</xdr:col>
      <xdr:colOff>4648</xdr:colOff>
      <xdr:row>42</xdr:row>
      <xdr:rowOff>5636</xdr:rowOff>
    </xdr:to>
    <xdr:sp macro="" textlink="">
      <xdr:nvSpPr>
        <xdr:cNvPr id="11" name="Rectangle : coins arrondis 10">
          <a:extLst>
            <a:ext uri="{FF2B5EF4-FFF2-40B4-BE49-F238E27FC236}">
              <a16:creationId xmlns:a16="http://schemas.microsoft.com/office/drawing/2014/main" id="{E1F6033E-C31E-487D-B221-0D33695D520D}"/>
            </a:ext>
          </a:extLst>
        </xdr:cNvPr>
        <xdr:cNvSpPr/>
      </xdr:nvSpPr>
      <xdr:spPr>
        <a:xfrm>
          <a:off x="173425" y="127813"/>
          <a:ext cx="1634773" cy="4837586"/>
        </a:xfrm>
        <a:prstGeom prst="roundRect">
          <a:avLst>
            <a:gd name="adj" fmla="val 8877"/>
          </a:avLst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fr-CI" sz="1100"/>
            <a:t> </a:t>
          </a:r>
        </a:p>
      </xdr:txBody>
    </xdr:sp>
    <xdr:clientData/>
  </xdr:twoCellAnchor>
  <xdr:twoCellAnchor editAs="oneCell">
    <xdr:from>
      <xdr:col>8</xdr:col>
      <xdr:colOff>0</xdr:colOff>
      <xdr:row>4</xdr:row>
      <xdr:rowOff>115128</xdr:rowOff>
    </xdr:from>
    <xdr:to>
      <xdr:col>15</xdr:col>
      <xdr:colOff>3438</xdr:colOff>
      <xdr:row>12</xdr:row>
      <xdr:rowOff>77476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8" name="Country">
              <a:extLst>
                <a:ext uri="{FF2B5EF4-FFF2-40B4-BE49-F238E27FC236}">
                  <a16:creationId xmlns:a16="http://schemas.microsoft.com/office/drawing/2014/main" id="{B8B4C498-3167-451D-9436-1B4D452C5C5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5781" y="591378"/>
              <a:ext cx="1253595" cy="91484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3438</xdr:colOff>
      <xdr:row>13</xdr:row>
      <xdr:rowOff>25911</xdr:rowOff>
    </xdr:from>
    <xdr:to>
      <xdr:col>15</xdr:col>
      <xdr:colOff>2650</xdr:colOff>
      <xdr:row>23</xdr:row>
      <xdr:rowOff>7681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9" name="Order Date (année)">
              <a:extLst>
                <a:ext uri="{FF2B5EF4-FFF2-40B4-BE49-F238E27FC236}">
                  <a16:creationId xmlns:a16="http://schemas.microsoft.com/office/drawing/2014/main" id="{8E6730CB-26D5-4410-9066-789BDB2FEF0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(année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39219" y="1573724"/>
              <a:ext cx="1249369" cy="11723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 editAs="oneCell">
    <xdr:from>
      <xdr:col>8</xdr:col>
      <xdr:colOff>4960</xdr:colOff>
      <xdr:row>23</xdr:row>
      <xdr:rowOff>86590</xdr:rowOff>
    </xdr:from>
    <xdr:to>
      <xdr:col>15</xdr:col>
      <xdr:colOff>2650</xdr:colOff>
      <xdr:row>39</xdr:row>
      <xdr:rowOff>114308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10" name="Order Date (mois)">
              <a:extLst>
                <a:ext uri="{FF2B5EF4-FFF2-40B4-BE49-F238E27FC236}">
                  <a16:creationId xmlns:a16="http://schemas.microsoft.com/office/drawing/2014/main" id="{C9A226EF-2567-4762-803F-A697491F412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der Date (mois)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40741" y="2825028"/>
              <a:ext cx="1247847" cy="19327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fr-CI" sz="1100"/>
                <a:t>Cette forme représente un segment. Les segments sont pris en charge dans Excel 2010 ou version ultérieure.
En revanche, si la forme a été modifiée dans une version précédente d’Excel, ou si le classeur a été enregistré dans Excel 2003 ou une version précédente, vous ne pouvez pas utiliser le segment.</a:t>
              </a:r>
            </a:p>
          </xdr:txBody>
        </xdr:sp>
      </mc:Fallback>
    </mc:AlternateContent>
    <xdr:clientData/>
  </xdr:twoCellAnchor>
  <xdr:twoCellAnchor>
    <xdr:from>
      <xdr:col>17</xdr:col>
      <xdr:colOff>7272</xdr:colOff>
      <xdr:row>3</xdr:row>
      <xdr:rowOff>4422</xdr:rowOff>
    </xdr:from>
    <xdr:to>
      <xdr:col>45</xdr:col>
      <xdr:colOff>7271</xdr:colOff>
      <xdr:row>8</xdr:row>
      <xdr:rowOff>500</xdr:rowOff>
    </xdr:to>
    <xdr:sp macro="" textlink="">
      <xdr:nvSpPr>
        <xdr:cNvPr id="12" name="Rectangle : coins arrondis 11">
          <a:extLst>
            <a:ext uri="{FF2B5EF4-FFF2-40B4-BE49-F238E27FC236}">
              <a16:creationId xmlns:a16="http://schemas.microsoft.com/office/drawing/2014/main" id="{5E8A9E56-2DCC-48FB-A93A-3185DF0CEC3B}"/>
            </a:ext>
          </a:extLst>
        </xdr:cNvPr>
        <xdr:cNvSpPr/>
      </xdr:nvSpPr>
      <xdr:spPr>
        <a:xfrm>
          <a:off x="2006795" y="128029"/>
          <a:ext cx="5089694" cy="614112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fr-CI" sz="2000" b="1" u="sng">
              <a:solidFill>
                <a:schemeClr val="accent4">
                  <a:lumMod val="75000"/>
                </a:schemeClr>
              </a:solidFill>
              <a:latin typeface="Arial Black" panose="020B0A04020102020204" pitchFamily="34" charset="0"/>
            </a:rPr>
            <a:t>DASHBOARD DONNÉES VENDEUR</a:t>
          </a:r>
        </a:p>
      </xdr:txBody>
    </xdr:sp>
    <xdr:clientData/>
  </xdr:twoCellAnchor>
  <xdr:twoCellAnchor>
    <xdr:from>
      <xdr:col>63</xdr:col>
      <xdr:colOff>3608</xdr:colOff>
      <xdr:row>3</xdr:row>
      <xdr:rowOff>2549</xdr:rowOff>
    </xdr:from>
    <xdr:to>
      <xdr:col>70</xdr:col>
      <xdr:colOff>2512</xdr:colOff>
      <xdr:row>8</xdr:row>
      <xdr:rowOff>0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05F68CFC-7AA5-4690-901E-BF606D627EC6}"/>
            </a:ext>
          </a:extLst>
        </xdr:cNvPr>
        <xdr:cNvSpPr/>
      </xdr:nvSpPr>
      <xdr:spPr>
        <a:xfrm>
          <a:off x="10202199" y="128847"/>
          <a:ext cx="1251363" cy="628943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55</xdr:col>
      <xdr:colOff>107801</xdr:colOff>
      <xdr:row>3</xdr:row>
      <xdr:rowOff>2548</xdr:rowOff>
    </xdr:from>
    <xdr:to>
      <xdr:col>62</xdr:col>
      <xdr:colOff>108557</xdr:colOff>
      <xdr:row>8</xdr:row>
      <xdr:rowOff>1281</xdr:rowOff>
    </xdr:to>
    <xdr:sp macro="" textlink="">
      <xdr:nvSpPr>
        <xdr:cNvPr id="17" name="Rectangle : coins arrondis 16">
          <a:extLst>
            <a:ext uri="{FF2B5EF4-FFF2-40B4-BE49-F238E27FC236}">
              <a16:creationId xmlns:a16="http://schemas.microsoft.com/office/drawing/2014/main" id="{29E63260-E599-4772-93E1-668208FE319F}"/>
            </a:ext>
          </a:extLst>
        </xdr:cNvPr>
        <xdr:cNvSpPr/>
      </xdr:nvSpPr>
      <xdr:spPr>
        <a:xfrm>
          <a:off x="9930457" y="377595"/>
          <a:ext cx="1250913" cy="623811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twoCellAnchor>
    <xdr:from>
      <xdr:col>48</xdr:col>
      <xdr:colOff>5043</xdr:colOff>
      <xdr:row>3</xdr:row>
      <xdr:rowOff>2549</xdr:rowOff>
    </xdr:from>
    <xdr:to>
      <xdr:col>55</xdr:col>
      <xdr:colOff>9736</xdr:colOff>
      <xdr:row>8</xdr:row>
      <xdr:rowOff>239</xdr:rowOff>
    </xdr:to>
    <xdr:sp macro="" textlink="">
      <xdr:nvSpPr>
        <xdr:cNvPr id="18" name="Rectangle : coins arrondis 17">
          <a:extLst>
            <a:ext uri="{FF2B5EF4-FFF2-40B4-BE49-F238E27FC236}">
              <a16:creationId xmlns:a16="http://schemas.microsoft.com/office/drawing/2014/main" id="{C26BF719-301E-41A0-B887-03F533EAC1F0}"/>
            </a:ext>
          </a:extLst>
        </xdr:cNvPr>
        <xdr:cNvSpPr/>
      </xdr:nvSpPr>
      <xdr:spPr>
        <a:xfrm>
          <a:off x="8577543" y="377596"/>
          <a:ext cx="1254849" cy="622768"/>
        </a:xfrm>
        <a:prstGeom prst="roundRect">
          <a:avLst/>
        </a:prstGeom>
        <a:solidFill>
          <a:schemeClr val="accent4">
            <a:lumMod val="7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CI" sz="1100"/>
        </a:p>
      </xdr:txBody>
    </xdr:sp>
    <xdr:clientData/>
  </xdr:twoCellAnchor>
  <xdr:oneCellAnchor>
    <xdr:from>
      <xdr:col>48</xdr:col>
      <xdr:colOff>119702</xdr:colOff>
      <xdr:row>3</xdr:row>
      <xdr:rowOff>99022</xdr:rowOff>
    </xdr:from>
    <xdr:ext cx="1147949" cy="288000"/>
    <xdr:sp macro="" textlink="$L$59">
      <xdr:nvSpPr>
        <xdr:cNvPr id="19" name="ZoneTexte 18">
          <a:extLst>
            <a:ext uri="{FF2B5EF4-FFF2-40B4-BE49-F238E27FC236}">
              <a16:creationId xmlns:a16="http://schemas.microsoft.com/office/drawing/2014/main" id="{12092A4F-4540-4393-9101-2790D69FD8E3}"/>
            </a:ext>
          </a:extLst>
        </xdr:cNvPr>
        <xdr:cNvSpPr txBox="1"/>
      </xdr:nvSpPr>
      <xdr:spPr>
        <a:xfrm>
          <a:off x="8692202" y="474069"/>
          <a:ext cx="1147949" cy="28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808347D1-23F4-496C-A8B5-0CE8ED96A987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1228327,4</a:t>
          </a:fld>
          <a:endParaRPr lang="fr-CI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63</xdr:col>
      <xdr:colOff>5148</xdr:colOff>
      <xdr:row>3</xdr:row>
      <xdr:rowOff>98142</xdr:rowOff>
    </xdr:from>
    <xdr:ext cx="1247312" cy="288000"/>
    <xdr:sp macro="" textlink="$L$65">
      <xdr:nvSpPr>
        <xdr:cNvPr id="22" name="ZoneTexte 21">
          <a:extLst>
            <a:ext uri="{FF2B5EF4-FFF2-40B4-BE49-F238E27FC236}">
              <a16:creationId xmlns:a16="http://schemas.microsoft.com/office/drawing/2014/main" id="{D2D07FB3-94E4-47C4-A06F-0DCE649D972D}"/>
            </a:ext>
          </a:extLst>
        </xdr:cNvPr>
        <xdr:cNvSpPr txBox="1"/>
      </xdr:nvSpPr>
      <xdr:spPr>
        <a:xfrm>
          <a:off x="10184992" y="224646"/>
          <a:ext cx="1247312" cy="28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B6EC49BB-668E-41DD-8ACA-E53A9AF6AB9E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799</a:t>
          </a:fld>
          <a:endParaRPr lang="fr-CI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55</xdr:col>
      <xdr:colOff>110944</xdr:colOff>
      <xdr:row>3</xdr:row>
      <xdr:rowOff>94437</xdr:rowOff>
    </xdr:from>
    <xdr:ext cx="1254157" cy="288000"/>
    <xdr:sp macro="" textlink="$L$62">
      <xdr:nvSpPr>
        <xdr:cNvPr id="23" name="ZoneTexte 22">
          <a:extLst>
            <a:ext uri="{FF2B5EF4-FFF2-40B4-BE49-F238E27FC236}">
              <a16:creationId xmlns:a16="http://schemas.microsoft.com/office/drawing/2014/main" id="{8B3CE7A3-D347-4A74-AD05-C6CF0E0820D7}"/>
            </a:ext>
          </a:extLst>
        </xdr:cNvPr>
        <xdr:cNvSpPr txBox="1"/>
      </xdr:nvSpPr>
      <xdr:spPr>
        <a:xfrm>
          <a:off x="9933600" y="469484"/>
          <a:ext cx="1254157" cy="288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fld id="{741C26D7-033A-4FD6-9B85-5150358FF3E2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9</a:t>
          </a:fld>
          <a:endParaRPr lang="fr-CI" sz="1600" b="1">
            <a:solidFill>
              <a:schemeClr val="bg1"/>
            </a:solidFill>
          </a:endParaRPr>
        </a:p>
      </xdr:txBody>
    </xdr:sp>
    <xdr:clientData/>
  </xdr:oneCellAnchor>
  <xdr:oneCellAnchor>
    <xdr:from>
      <xdr:col>48</xdr:col>
      <xdr:colOff>9238</xdr:colOff>
      <xdr:row>5</xdr:row>
      <xdr:rowOff>88925</xdr:rowOff>
    </xdr:from>
    <xdr:ext cx="1260000" cy="180000"/>
    <xdr:sp macro="" textlink="">
      <xdr:nvSpPr>
        <xdr:cNvPr id="24" name="ZoneTexte 23">
          <a:extLst>
            <a:ext uri="{FF2B5EF4-FFF2-40B4-BE49-F238E27FC236}">
              <a16:creationId xmlns:a16="http://schemas.microsoft.com/office/drawing/2014/main" id="{25168871-66D5-4C3E-A158-B1C2B712FD12}"/>
            </a:ext>
          </a:extLst>
        </xdr:cNvPr>
        <xdr:cNvSpPr txBox="1"/>
      </xdr:nvSpPr>
      <xdr:spPr>
        <a:xfrm>
          <a:off x="8581738" y="714003"/>
          <a:ext cx="1260000" cy="180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CI" sz="700">
              <a:solidFill>
                <a:schemeClr val="bg1"/>
              </a:solidFill>
            </a:rPr>
            <a:t>Chiffre</a:t>
          </a:r>
          <a:r>
            <a:rPr lang="fr-CI" sz="800">
              <a:solidFill>
                <a:schemeClr val="bg1"/>
              </a:solidFill>
            </a:rPr>
            <a:t> </a:t>
          </a:r>
          <a:r>
            <a:rPr lang="fr-CI" sz="700">
              <a:solidFill>
                <a:schemeClr val="bg1"/>
              </a:solidFill>
            </a:rPr>
            <a:t>d'affaires</a:t>
          </a:r>
          <a:endParaRPr lang="fr-CI" sz="800">
            <a:solidFill>
              <a:schemeClr val="bg1"/>
            </a:solidFill>
          </a:endParaRPr>
        </a:p>
      </xdr:txBody>
    </xdr:sp>
    <xdr:clientData/>
  </xdr:oneCellAnchor>
  <xdr:oneCellAnchor>
    <xdr:from>
      <xdr:col>55</xdr:col>
      <xdr:colOff>105296</xdr:colOff>
      <xdr:row>5</xdr:row>
      <xdr:rowOff>85237</xdr:rowOff>
    </xdr:from>
    <xdr:ext cx="1260000" cy="180000"/>
    <xdr:sp macro="" textlink="">
      <xdr:nvSpPr>
        <xdr:cNvPr id="25" name="ZoneTexte 24">
          <a:extLst>
            <a:ext uri="{FF2B5EF4-FFF2-40B4-BE49-F238E27FC236}">
              <a16:creationId xmlns:a16="http://schemas.microsoft.com/office/drawing/2014/main" id="{55AAD33B-3418-4BF7-9459-019FA9098D52}"/>
            </a:ext>
          </a:extLst>
        </xdr:cNvPr>
        <xdr:cNvSpPr txBox="1"/>
      </xdr:nvSpPr>
      <xdr:spPr>
        <a:xfrm>
          <a:off x="9927952" y="710315"/>
          <a:ext cx="1260000" cy="180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CI" sz="700">
              <a:solidFill>
                <a:schemeClr val="bg1"/>
              </a:solidFill>
            </a:rPr>
            <a:t>Nombre</a:t>
          </a:r>
          <a:r>
            <a:rPr lang="fr-CI" sz="700" baseline="0">
              <a:solidFill>
                <a:schemeClr val="bg1"/>
              </a:solidFill>
            </a:rPr>
            <a:t> de Vendeur</a:t>
          </a:r>
          <a:endParaRPr lang="fr-CI" sz="700">
            <a:solidFill>
              <a:schemeClr val="bg1"/>
            </a:solidFill>
          </a:endParaRPr>
        </a:p>
      </xdr:txBody>
    </xdr:sp>
    <xdr:clientData/>
  </xdr:oneCellAnchor>
  <xdr:oneCellAnchor>
    <xdr:from>
      <xdr:col>63</xdr:col>
      <xdr:colOff>7880</xdr:colOff>
      <xdr:row>5</xdr:row>
      <xdr:rowOff>87038</xdr:rowOff>
    </xdr:from>
    <xdr:ext cx="1244579" cy="180000"/>
    <xdr:sp macro="" textlink="">
      <xdr:nvSpPr>
        <xdr:cNvPr id="26" name="ZoneTexte 25">
          <a:extLst>
            <a:ext uri="{FF2B5EF4-FFF2-40B4-BE49-F238E27FC236}">
              <a16:creationId xmlns:a16="http://schemas.microsoft.com/office/drawing/2014/main" id="{BD78E3A5-461D-4B2D-906D-E92B1243CF55}"/>
            </a:ext>
          </a:extLst>
        </xdr:cNvPr>
        <xdr:cNvSpPr txBox="1"/>
      </xdr:nvSpPr>
      <xdr:spPr>
        <a:xfrm>
          <a:off x="10187724" y="466550"/>
          <a:ext cx="1244579" cy="180000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noAutofit/>
        </a:bodyPr>
        <a:lstStyle/>
        <a:p>
          <a:pPr algn="ctr"/>
          <a:r>
            <a:rPr lang="fr-CI" sz="700">
              <a:solidFill>
                <a:schemeClr val="bg1"/>
              </a:solidFill>
            </a:rPr>
            <a:t>Nombre de commande</a:t>
          </a:r>
        </a:p>
      </xdr:txBody>
    </xdr:sp>
    <xdr:clientData/>
  </xdr:oneCellAnchor>
  <xdr:oneCellAnchor>
    <xdr:from>
      <xdr:col>48</xdr:col>
      <xdr:colOff>12786</xdr:colOff>
      <xdr:row>3</xdr:row>
      <xdr:rowOff>76443</xdr:rowOff>
    </xdr:from>
    <xdr:ext cx="357986" cy="319630"/>
    <xdr:sp macro="" textlink="">
      <xdr:nvSpPr>
        <xdr:cNvPr id="29" name="ZoneTexte 28">
          <a:extLst>
            <a:ext uri="{FF2B5EF4-FFF2-40B4-BE49-F238E27FC236}">
              <a16:creationId xmlns:a16="http://schemas.microsoft.com/office/drawing/2014/main" id="{CD946E88-D5F3-449C-8126-508AA8BC790C}"/>
            </a:ext>
          </a:extLst>
        </xdr:cNvPr>
        <xdr:cNvSpPr txBox="1"/>
      </xdr:nvSpPr>
      <xdr:spPr>
        <a:xfrm>
          <a:off x="7746020" y="456111"/>
          <a:ext cx="357986" cy="3196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fr-CI" sz="1600" b="1">
              <a:solidFill>
                <a:schemeClr val="bg1"/>
              </a:solidFill>
            </a:rPr>
            <a:t>$</a:t>
          </a:r>
        </a:p>
      </xdr:txBody>
    </xdr:sp>
    <xdr:clientData/>
  </xdr:one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298.622699652777" backgroundQuery="1" createdVersion="7" refreshedVersion="7" minRefreshableVersion="3" recordCount="0" supportSubquery="1" supportAdvancedDrill="1" xr:uid="{546CA5B6-79CA-4557-8D18-9AC42046DC6B}">
  <cacheSource type="external" connectionId="1"/>
  <cacheFields count="4">
    <cacheField name="[Measures].[Somme de Order Amount]" caption="Somme de Order Amount" numFmtId="0" hierarchy="11" level="32767"/>
    <cacheField name="[Table1].[Order Date (mois)].[Order Date (mois)]" caption="Order Date (mois)" numFmtId="0" hierarchy="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].[Order Date (année)].[Order Date (année)]" caption="Order Date (année)" numFmtId="0" hierarchy="5" level="1">
      <sharedItems count="3">
        <s v="2003"/>
        <s v="2004"/>
        <s v="2005"/>
      </sharedItems>
    </cacheField>
    <cacheField name="[Table1].[Country].[Country]" caption="Country" numFmtId="0" level="1">
      <sharedItems containsSemiMixedTypes="0" containsNonDate="0" containsString="0"/>
    </cacheField>
  </cacheFields>
  <cacheHierarchies count="16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3"/>
      </fieldsUsage>
    </cacheHierarchy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Order Amount]" caption="Order Amount" attribute="1" defaultMemberUniqueName="[Table1].[Order Amount].[All]" allUniqueName="[Table1].[Order Amount].[All]" dimensionUniqueName="[Table1]" displayFolder="" count="0" memberValueDatatype="5" unbalanced="0"/>
    <cacheHierarchy uniqueName="[Table1].[Order Date (année)]" caption="Order Date (année)" attribute="1" defaultMemberUniqueName="[Table1].[Order Date (année)].[All]" allUniqueName="[Table1].[Order Date (année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trimestre)]" caption="Order Date (trimestre)" attribute="1" defaultMemberUniqueName="[Table1].[Order Date (trimestre)].[All]" allUniqueName="[Table1].[Order Date (trimestre)].[All]" dimensionUniqueName="[Table1]" displayFolder="" count="0" memberValueDatatype="130" unbalanced="0"/>
    <cacheHierarchy uniqueName="[Table1].[Order Date (mois)]" caption="Order Date (mois)" attribute="1" defaultMemberUniqueName="[Table1].[Order Date (mois)].[All]" allUniqueName="[Table1].[Order Date (mois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index des mois)]" caption="Order Date (index des mois)" attribute="1" defaultMemberUniqueName="[Table1].[Order Date (index des mois)].[All]" allUniqueName="[Table1].[Order Date (index des mois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omme de Order Amount]" caption="Somme de Order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Salesperson]" caption="Nombre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Salesperson]" caption="Total distinct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OrderID]" caption="Total distinct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298.62272013889" backgroundQuery="1" createdVersion="7" refreshedVersion="7" minRefreshableVersion="3" recordCount="0" supportSubquery="1" supportAdvancedDrill="1" xr:uid="{D9CEAA04-3067-485B-83F6-61861D5BA71C}">
  <cacheSource type="external" connectionId="1"/>
  <cacheFields count="3">
    <cacheField name="[Table1].[Country].[Country]" caption="Country" numFmtId="0" level="1">
      <sharedItems count="2">
        <s v="UK"/>
        <s v="USA"/>
      </sharedItems>
    </cacheField>
    <cacheField name="[Measures].[Somme de Order Amount]" caption="Somme de Order Amount" numFmtId="0" hierarchy="11" level="32767"/>
    <cacheField name="[Table1].[Order Date (année)].[Order Date (année)]" caption="Order Date (année)" numFmtId="0" hierarchy="5" level="1">
      <sharedItems containsSemiMixedTypes="0" containsNonDate="0" containsString="0"/>
    </cacheField>
  </cacheFields>
  <cacheHierarchies count="16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0"/>
      </fieldsUsage>
    </cacheHierarchy>
    <cacheHierarchy uniqueName="[Table1].[Salesperson]" caption="Salesperson" attribute="1" defaultMemberUniqueName="[Table1].[Salesperson].[All]" allUniqueName="[Table1].[Salesperson].[All]" dimensionUniqueName="[Table1]" displayFolder="" count="2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2" memberValueDatatype="7" unbalanced="0"/>
    <cacheHierarchy uniqueName="[Table1].[OrderID]" caption="OrderID" attribute="1" defaultMemberUniqueName="[Table1].[OrderID].[All]" allUniqueName="[Table1].[OrderID].[All]" dimensionUniqueName="[Table1]" displayFolder="" count="2" memberValueDatatype="20" unbalanced="0"/>
    <cacheHierarchy uniqueName="[Table1].[Order Amount]" caption="Order Amount" attribute="1" defaultMemberUniqueName="[Table1].[Order Amount].[All]" allUniqueName="[Table1].[Order Amount].[All]" dimensionUniqueName="[Table1]" displayFolder="" count="2" memberValueDatatype="5" unbalanced="0"/>
    <cacheHierarchy uniqueName="[Table1].[Order Date (année)]" caption="Order Date (année)" attribute="1" defaultMemberUniqueName="[Table1].[Order Date (année)].[All]" allUniqueName="[Table1].[Order Date (année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trimestre)]" caption="Order Date (trimestre)" attribute="1" defaultMemberUniqueName="[Table1].[Order Date (trimestre)].[All]" allUniqueName="[Table1].[Order Date (trimestre)].[All]" dimensionUniqueName="[Table1]" displayFolder="" count="2" memberValueDatatype="130" unbalanced="0"/>
    <cacheHierarchy uniqueName="[Table1].[Order Date (mois)]" caption="Order Date (mois)" attribute="1" defaultMemberUniqueName="[Table1].[Order Date (mois)].[All]" allUniqueName="[Table1].[Order Date (mois)].[All]" dimensionUniqueName="[Table1]" displayFolder="" count="2" memberValueDatatype="130" unbalanced="0"/>
    <cacheHierarchy uniqueName="[Table1].[Order Date (index des mois)]" caption="Order Date (index des mois)" attribute="1" defaultMemberUniqueName="[Table1].[Order Date (index des mois)].[All]" allUniqueName="[Table1].[Order Date (index des mois)].[All]" dimensionUniqueName="[Table1]" displayFolder="" count="2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omme de Order Amount]" caption="Somme de Order Amount" measure="1" displayFolder="" measureGroup="Table1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Salesperson]" caption="Nombre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Salesperson]" caption="Total distinct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OrderID]" caption="Total distinct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298.622720601852" backgroundQuery="1" createdVersion="7" refreshedVersion="7" minRefreshableVersion="3" recordCount="0" supportSubquery="1" supportAdvancedDrill="1" xr:uid="{E2F34A2E-1529-435C-897F-E14761FE3EDD}">
  <cacheSource type="external" connectionId="1"/>
  <cacheFields count="3">
    <cacheField name="[Measures].[Somme de Order Amount]" caption="Somme de Order Amount" numFmtId="0" hierarchy="11" level="32767"/>
    <cacheField name="[Table1].[Order Date (mois)].[Order Date (mois)]" caption="Order Date (mois)" numFmtId="0" hierarchy="7" level="1">
      <sharedItems count="12">
        <s v="Jan"/>
        <s v="Feb"/>
        <s v="Mar"/>
        <s v="Apr"/>
        <s v="May"/>
        <s v="Jun"/>
        <s v="Jul"/>
        <s v="Aug"/>
        <s v="Sep"/>
        <s v="Oct"/>
        <s v="Nov"/>
        <s v="Dec"/>
      </sharedItems>
    </cacheField>
    <cacheField name="[Table1].[Order Date (année)].[Order Date (année)]" caption="Order Date (année)" numFmtId="0" hierarchy="5" level="1">
      <sharedItems containsSemiMixedTypes="0" containsNonDate="0" containsString="0"/>
    </cacheField>
  </cacheFields>
  <cacheHierarchies count="16">
    <cacheHierarchy uniqueName="[Table1].[Country]" caption="Country" attribute="1" defaultMemberUniqueName="[Table1].[Country].[All]" allUniqueName="[Table1].[Country].[All]" dimensionUniqueName="[Table1]" displayFolder="" count="2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Order Amount]" caption="Order Amount" attribute="1" defaultMemberUniqueName="[Table1].[Order Amount].[All]" allUniqueName="[Table1].[Order Amount].[All]" dimensionUniqueName="[Table1]" displayFolder="" count="0" memberValueDatatype="5" unbalanced="0"/>
    <cacheHierarchy uniqueName="[Table1].[Order Date (année)]" caption="Order Date (année)" attribute="1" defaultMemberUniqueName="[Table1].[Order Date (année)].[All]" allUniqueName="[Table1].[Order Date (année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trimestre)]" caption="Order Date (trimestre)" attribute="1" defaultMemberUniqueName="[Table1].[Order Date (trimestre)].[All]" allUniqueName="[Table1].[Order Date (trimestre)].[All]" dimensionUniqueName="[Table1]" displayFolder="" count="0" memberValueDatatype="130" unbalanced="0"/>
    <cacheHierarchy uniqueName="[Table1].[Order Date (mois)]" caption="Order Date (mois)" attribute="1" defaultMemberUniqueName="[Table1].[Order Date (mois)].[All]" allUniqueName="[Table1].[Order Date (mois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index des mois)]" caption="Order Date (index des mois)" attribute="1" defaultMemberUniqueName="[Table1].[Order Date (index des mois)].[All]" allUniqueName="[Table1].[Order Date (index des mois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omme de Order Amount]" caption="Somme de Order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Salesperson]" caption="Nombre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Salesperson]" caption="Total distinct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OrderID]" caption="Total distinct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298.622721064814" backgroundQuery="1" createdVersion="7" refreshedVersion="7" minRefreshableVersion="3" recordCount="0" supportSubquery="1" supportAdvancedDrill="1" xr:uid="{C2B0C64C-3374-4D71-BE44-40EA6DE059D6}">
  <cacheSource type="external" connectionId="1"/>
  <cacheFields count="3">
    <cacheField name="[Measures].[Somme de Order Amount]" caption="Somme de Order Amount" numFmtId="0" hierarchy="11" level="32767"/>
    <cacheField name="[Table1].[Salesperson].[Salesperson]" caption="Salesperson" numFmtId="0" hierarchy="1" level="1">
      <sharedItems count="9">
        <s v="Buchanan"/>
        <s v="Callahan"/>
        <s v="Davolio"/>
        <s v="Dodsworth"/>
        <s v="Fuller"/>
        <s v="King"/>
        <s v="Leverling"/>
        <s v="Peacock"/>
        <s v="Suyama"/>
      </sharedItems>
    </cacheField>
    <cacheField name="[Table1].[Order Date (année)].[Order Date (année)]" caption="Order Date (année)" numFmtId="0" hierarchy="5" level="1">
      <sharedItems containsSemiMixedTypes="0" containsNonDate="0" containsString="0"/>
    </cacheField>
  </cacheFields>
  <cacheHierarchies count="16">
    <cacheHierarchy uniqueName="[Table1].[Country]" caption="Country" attribute="1" defaultMemberUniqueName="[Table1].[Country].[All]" allUniqueName="[Table1].[Country].[All]" dimensionUniqueName="[Table1]" displayFolder="" count="2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Order Amount]" caption="Order Amount" attribute="1" defaultMemberUniqueName="[Table1].[Order Amount].[All]" allUniqueName="[Table1].[Order Amount].[All]" dimensionUniqueName="[Table1]" displayFolder="" count="0" memberValueDatatype="5" unbalanced="0"/>
    <cacheHierarchy uniqueName="[Table1].[Order Date (année)]" caption="Order Date (année)" attribute="1" defaultMemberUniqueName="[Table1].[Order Date (année)].[All]" allUniqueName="[Table1].[Order Date (année)].[All]" dimensionUniqueName="[Table1]" displayFolder="" count="2" memberValueDatatype="130" unbalanced="0">
      <fieldsUsage count="2">
        <fieldUsage x="-1"/>
        <fieldUsage x="2"/>
      </fieldsUsage>
    </cacheHierarchy>
    <cacheHierarchy uniqueName="[Table1].[Order Date (trimestre)]" caption="Order Date (trimestre)" attribute="1" defaultMemberUniqueName="[Table1].[Order Date (trimestre)].[All]" allUniqueName="[Table1].[Order Date (trimestre)].[All]" dimensionUniqueName="[Table1]" displayFolder="" count="0" memberValueDatatype="130" unbalanced="0"/>
    <cacheHierarchy uniqueName="[Table1].[Order Date (mois)]" caption="Order Date (mois)" attribute="1" defaultMemberUniqueName="[Table1].[Order Date (mois)].[All]" allUniqueName="[Table1].[Order Date (mois)].[All]" dimensionUniqueName="[Table1]" displayFolder="" count="2" memberValueDatatype="130" unbalanced="0"/>
    <cacheHierarchy uniqueName="[Table1].[Order Date (index des mois)]" caption="Order Date (index des mois)" attribute="1" defaultMemberUniqueName="[Table1].[Order Date (index des mois)].[All]" allUniqueName="[Table1].[Order Date (index des mois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omme de Order Amount]" caption="Somme de Order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Salesperson]" caption="Nombre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Salesperson]" caption="Total distinct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OrderID]" caption="Total distinct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298.622721412037" backgroundQuery="1" createdVersion="7" refreshedVersion="7" minRefreshableVersion="3" recordCount="0" supportSubquery="1" supportAdvancedDrill="1" xr:uid="{AF1F005F-72D2-4730-B761-441E348DE7E5}">
  <cacheSource type="external" connectionId="1"/>
  <cacheFields count="2">
    <cacheField name="[Measures].[Somme de Order Amount]" caption="Somme de Order Amount" numFmtId="0" hierarchy="11" level="32767"/>
    <cacheField name="[Table1].[Order Date (année)].[Order Date (année)]" caption="Order Date (année)" numFmtId="0" hierarchy="5" level="1">
      <sharedItems count="3">
        <s v="2003"/>
        <s v="2004"/>
        <s v="2005"/>
      </sharedItems>
    </cacheField>
  </cacheFields>
  <cacheHierarchies count="16">
    <cacheHierarchy uniqueName="[Table1].[Country]" caption="Country" attribute="1" defaultMemberUniqueName="[Table1].[Country].[All]" allUniqueName="[Table1].[Country].[All]" dimensionUniqueName="[Table1]" displayFolder="" count="2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Order Amount]" caption="Order Amount" attribute="1" defaultMemberUniqueName="[Table1].[Order Amount].[All]" allUniqueName="[Table1].[Order Amount].[All]" dimensionUniqueName="[Table1]" displayFolder="" count="0" memberValueDatatype="5" unbalanced="0"/>
    <cacheHierarchy uniqueName="[Table1].[Order Date (année)]" caption="Order Date (année)" attribute="1" defaultMemberUniqueName="[Table1].[Order Date (année)].[All]" allUniqueName="[Table1].[Order Date (année)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Order Date (trimestre)]" caption="Order Date (trimestre)" attribute="1" defaultMemberUniqueName="[Table1].[Order Date (trimestre)].[All]" allUniqueName="[Table1].[Order Date (trimestre)].[All]" dimensionUniqueName="[Table1]" displayFolder="" count="0" memberValueDatatype="130" unbalanced="0"/>
    <cacheHierarchy uniqueName="[Table1].[Order Date (mois)]" caption="Order Date (mois)" attribute="1" defaultMemberUniqueName="[Table1].[Order Date (mois)].[All]" allUniqueName="[Table1].[Order Date (mois)].[All]" dimensionUniqueName="[Table1]" displayFolder="" count="2" memberValueDatatype="130" unbalanced="0"/>
    <cacheHierarchy uniqueName="[Table1].[Order Date (index des mois)]" caption="Order Date (index des mois)" attribute="1" defaultMemberUniqueName="[Table1].[Order Date (index des mois)].[All]" allUniqueName="[Table1].[Order Date (index des mois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omme de Order Amount]" caption="Somme de Order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Salesperson]" caption="Nombre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Salesperson]" caption="Total distinct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OrderID]" caption="Total distinct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298.62272175926" backgroundQuery="1" createdVersion="7" refreshedVersion="7" minRefreshableVersion="3" recordCount="0" supportSubquery="1" supportAdvancedDrill="1" xr:uid="{CC6BD852-ECCC-4240-B02C-D1BCA9A86CE0}">
  <cacheSource type="external" connectionId="1"/>
  <cacheFields count="5">
    <cacheField name="[Measures].[Somme de Order Amount]" caption="Somme de Order Amount" numFmtId="0" hierarchy="11" level="32767"/>
    <cacheField name="[Table1].[Country].[Country]" caption="Country" numFmtId="0" level="1">
      <sharedItems count="2">
        <s v="UK"/>
        <s v="USA"/>
      </sharedItems>
    </cacheField>
    <cacheField name="[Measures].[Total distinct de Salesperson]" caption="Total distinct de Salesperson" numFmtId="0" hierarchy="14" level="32767"/>
    <cacheField name="[Measures].[Total distinct de OrderID]" caption="Total distinct de OrderID" numFmtId="0" hierarchy="15" level="32767"/>
    <cacheField name="[Table1].[Order Date (année)].[Order Date (année)]" caption="Order Date (année)" numFmtId="0" hierarchy="5" level="1">
      <sharedItems containsSemiMixedTypes="0" containsNonDate="0" containsString="0"/>
    </cacheField>
  </cacheFields>
  <cacheHierarchies count="16">
    <cacheHierarchy uniqueName="[Table1].[Country]" caption="Country" attribute="1" defaultMemberUniqueName="[Table1].[Country].[All]" allUniqueName="[Table1].[Country].[All]" dimensionUniqueName="[Table1]" displayFolder="" count="2" memberValueDatatype="130" unbalanced="0">
      <fieldsUsage count="2">
        <fieldUsage x="-1"/>
        <fieldUsage x="1"/>
      </fieldsUsage>
    </cacheHierarchy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Order Amount]" caption="Order Amount" attribute="1" defaultMemberUniqueName="[Table1].[Order Amount].[All]" allUniqueName="[Table1].[Order Amount].[All]" dimensionUniqueName="[Table1]" displayFolder="" count="0" memberValueDatatype="5" unbalanced="0"/>
    <cacheHierarchy uniqueName="[Table1].[Order Date (année)]" caption="Order Date (année)" attribute="1" defaultMemberUniqueName="[Table1].[Order Date (année)].[All]" allUniqueName="[Table1].[Order Date (année)].[All]" dimensionUniqueName="[Table1]" displayFolder="" count="2" memberValueDatatype="130" unbalanced="0">
      <fieldsUsage count="2">
        <fieldUsage x="-1"/>
        <fieldUsage x="4"/>
      </fieldsUsage>
    </cacheHierarchy>
    <cacheHierarchy uniqueName="[Table1].[Order Date (trimestre)]" caption="Order Date (trimestre)" attribute="1" defaultMemberUniqueName="[Table1].[Order Date (trimestre)].[All]" allUniqueName="[Table1].[Order Date (trimestre)].[All]" dimensionUniqueName="[Table1]" displayFolder="" count="0" memberValueDatatype="130" unbalanced="0"/>
    <cacheHierarchy uniqueName="[Table1].[Order Date (mois)]" caption="Order Date (mois)" attribute="1" defaultMemberUniqueName="[Table1].[Order Date (mois)].[All]" allUniqueName="[Table1].[Order Date (mois)].[All]" dimensionUniqueName="[Table1]" displayFolder="" count="2" memberValueDatatype="130" unbalanced="0"/>
    <cacheHierarchy uniqueName="[Table1].[Order Date (index des mois)]" caption="Order Date (index des mois)" attribute="1" defaultMemberUniqueName="[Table1].[Order Date (index des mois)].[All]" allUniqueName="[Table1].[Order Date (index des mois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omme de Order Amount]" caption="Somme de Order Amount" measure="1" displayFolder="" measureGroup="Table1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Salesperson]" caption="Nombre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Salesperson]" caption="Total distinct de Salesperson" measure="1" displayFolder="" measureGroup="Table1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OrderID]" caption="Total distinct de OrderID" measure="1" displayFolder="" measureGroup="Table1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dimensions count="2">
    <dimension measure="1" name="Measures" uniqueName="[Measures]" caption="Measures"/>
    <dimension name="Table1" uniqueName="[Table1]" caption="Table1"/>
  </dimensions>
  <measureGroups count="1">
    <measureGroup name="Table1" caption="Table1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uteur" refreshedDate="46295.885093865742" backgroundQuery="1" createdVersion="3" refreshedVersion="7" minRefreshableVersion="3" recordCount="0" supportSubquery="1" supportAdvancedDrill="1" xr:uid="{E7FB9516-BB92-4AE5-BCE2-93D05ECBB970}">
  <cacheSource type="external" connectionId="1">
    <extLst>
      <ext xmlns:x14="http://schemas.microsoft.com/office/spreadsheetml/2009/9/main" uri="{F057638F-6D5F-4e77-A914-E7F072B9BCA8}">
        <x14:sourceConnection name="ThisWorkbookDataModel"/>
      </ext>
    </extLst>
  </cacheSource>
  <cacheFields count="0"/>
  <cacheHierarchies count="16">
    <cacheHierarchy uniqueName="[Table1].[Country]" caption="Country" attribute="1" defaultMemberUniqueName="[Table1].[Country].[All]" allUniqueName="[Table1].[Country].[All]" dimensionUniqueName="[Table1]" displayFolder="" count="2" memberValueDatatype="130" unbalanced="0"/>
    <cacheHierarchy uniqueName="[Table1].[Salesperson]" caption="Salesperson" attribute="1" defaultMemberUniqueName="[Table1].[Salesperson].[All]" allUniqueName="[Table1].[Salesperson].[All]" dimensionUniqueName="[Table1]" displayFolder="" count="0" memberValueDatatype="130" unbalanced="0"/>
    <cacheHierarchy uniqueName="[Table1].[Order Date]" caption="Order Date" attribute="1" time="1" defaultMemberUniqueName="[Table1].[Order Date].[All]" allUniqueName="[Table1].[Order Date].[All]" dimensionUniqueName="[Table1]" displayFolder="" count="0" memberValueDatatype="7" unbalanced="0"/>
    <cacheHierarchy uniqueName="[Table1].[OrderID]" caption="OrderID" attribute="1" defaultMemberUniqueName="[Table1].[OrderID].[All]" allUniqueName="[Table1].[OrderID].[All]" dimensionUniqueName="[Table1]" displayFolder="" count="0" memberValueDatatype="20" unbalanced="0"/>
    <cacheHierarchy uniqueName="[Table1].[Order Amount]" caption="Order Amount" attribute="1" defaultMemberUniqueName="[Table1].[Order Amount].[All]" allUniqueName="[Table1].[Order Amount].[All]" dimensionUniqueName="[Table1]" displayFolder="" count="0" memberValueDatatype="5" unbalanced="0"/>
    <cacheHierarchy uniqueName="[Table1].[Order Date (année)]" caption="Order Date (année)" attribute="1" defaultMemberUniqueName="[Table1].[Order Date (année)].[All]" allUniqueName="[Table1].[Order Date (année)].[All]" dimensionUniqueName="[Table1]" displayFolder="" count="2" memberValueDatatype="130" unbalanced="0"/>
    <cacheHierarchy uniqueName="[Table1].[Order Date (trimestre)]" caption="Order Date (trimestre)" attribute="1" defaultMemberUniqueName="[Table1].[Order Date (trimestre)].[All]" allUniqueName="[Table1].[Order Date (trimestre)].[All]" dimensionUniqueName="[Table1]" displayFolder="" count="0" memberValueDatatype="130" unbalanced="0"/>
    <cacheHierarchy uniqueName="[Table1].[Order Date (mois)]" caption="Order Date (mois)" attribute="1" defaultMemberUniqueName="[Table1].[Order Date (mois)].[All]" allUniqueName="[Table1].[Order Date (mois)].[All]" dimensionUniqueName="[Table1]" displayFolder="" count="2" memberValueDatatype="130" unbalanced="0"/>
    <cacheHierarchy uniqueName="[Table1].[Order Date (index des mois)]" caption="Order Date (index des mois)" attribute="1" defaultMemberUniqueName="[Table1].[Order Date (index des mois)].[All]" allUniqueName="[Table1].[Order Date (index des mois)].[All]" dimensionUniqueName="[Table1]" displayFolder="" count="0" memberValueDatatype="20" unbalanced="0" hidden="1"/>
    <cacheHierarchy uniqueName="[Measures].[__XL_Count Table1]" caption="__XL_Count Table1" measure="1" displayFolder="" measureGroup="Table1" count="0" hidden="1"/>
    <cacheHierarchy uniqueName="[Measures].[__No measures defined]" caption="__No measures defined" measure="1" displayFolder="" count="0" hidden="1"/>
    <cacheHierarchy uniqueName="[Measures].[Somme de Order Amount]" caption="Somme de Order Amount" measure="1" displayFolder="" measureGroup="Table1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Somme de OrderID]" caption="Somme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Nombre de Salesperson]" caption="Nombre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Salesperson]" caption="Total distinct de Salesperson" measure="1" displayFolder="" measureGroup="Table1" count="0" hidden="1">
      <extLst>
        <ext xmlns:x15="http://schemas.microsoft.com/office/spreadsheetml/2010/11/main" uri="{B97F6D7D-B522-45F9-BDA1-12C45D357490}">
          <x15:cacheHierarchy aggregatedColumn="1"/>
        </ext>
      </extLst>
    </cacheHierarchy>
    <cacheHierarchy uniqueName="[Measures].[Total distinct de OrderID]" caption="Total distinct de OrderID" measure="1" displayFolder="" measureGroup="Table1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</cacheHierarchies>
  <kpis count="0"/>
  <extLst>
    <ext xmlns:x14="http://schemas.microsoft.com/office/spreadsheetml/2009/9/main" uri="{725AE2AE-9491-48be-B2B4-4EB974FC3084}">
      <x14:pivotCacheDefinition slicerData="1" pivotCacheId="752664099"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47ED04-0FB8-410A-BB5E-7413C981E46E}" name="Tableau croisé dynamique4" cacheId="3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A8:B17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9">
        <item x="0"/>
        <item x="1"/>
        <item x="2"/>
        <item x="3"/>
        <item x="4"/>
        <item x="5"/>
        <item x="6"/>
        <item x="7"/>
        <item x="8"/>
      </items>
    </pivotField>
    <pivotField allDrilled="1" subtotalTop="0" showAll="0" dataSourceSort="1" defaultSubtotal="0" defaultAttributeDrillState="1"/>
  </pivotFields>
  <rowFields count="1"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</rowItems>
  <colItems count="1">
    <i/>
  </colItems>
  <dataFields count="1">
    <dataField name="Somme de Order Amoun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_Vendeu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48384B-C8E1-4862-ACDD-95B59FED2DA6}" name="Tableau croisé dynamique3" cacheId="2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D2:E14" firstHeaderRow="1" firstDataRow="1" firstDataCol="1"/>
  <pivotFields count="3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llDrilled="1" subtotalTop="0" showAll="0" dataSourceSort="1" defaultSubtotal="0" defaultAttributeDrillState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Items count="1">
    <i/>
  </colItems>
  <dataFields count="1">
    <dataField name="Somme de Order Amoun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_Vendeu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24262E-FED8-4F45-900B-BB54A09479C1}" name="Tableau croisé dynamique2" cacheId="1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A2:B4" firstHeaderRow="1" firstDataRow="1" firstDataCol="1"/>
  <pivotFields count="3"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allDrilled="1" subtotalTop="0" showAll="0" dataSourceSort="1" defaultSubtotal="0" defaultAttributeDrillState="1"/>
  </pivotFields>
  <rowFields count="1">
    <field x="0"/>
  </rowFields>
  <rowItems count="2">
    <i>
      <x/>
    </i>
    <i>
      <x v="1"/>
    </i>
  </rowItems>
  <colItems count="1">
    <i/>
  </colItems>
  <dataFields count="1">
    <dataField name="Somme de Order Amount" fld="1" showDataAs="percentOfTotal" baseField="0" baseItem="0" numFmtId="10"/>
  </dataFields>
  <chartFormats count="3">
    <chartFormat chart="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5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6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Hierarchies count="16"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0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_Vendeu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46F81C-1A96-43DE-AFE8-FD94D0C8DD78}" name="Tableau croisé dynamique7" cacheId="5" applyNumberFormats="0" applyBorderFormats="0" applyFontFormats="0" applyPatternFormats="0" applyAlignmentFormats="0" applyWidthHeightFormats="1" dataCaption="Valeurs" updatedVersion="7" minRefreshableVersion="3" useAutoFormatting="1" subtotalHiddenItems="1" itemPrintTitles="1" createdVersion="7" indent="0" outline="1" outlineData="1" multipleFieldFilters="0">
  <location ref="D20:G23" firstHeaderRow="0" firstDataRow="1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2">
        <item x="0"/>
        <item x="1"/>
      </items>
    </pivotField>
    <pivotField dataField="1" subtotalTop="0" showAll="0" defaultSubtotal="0"/>
    <pivotField dataField="1" subtotalTop="0" showAll="0" defaultSubtotal="0"/>
    <pivotField allDrilled="1" subtotalTop="0" showAll="0" dataSourceSort="1" defaultSubtotal="0" defaultAttributeDrillState="1"/>
  </pivotFields>
  <rowFields count="1">
    <field x="1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omme de Order Amount" fld="0" baseField="0" baseItem="0"/>
    <dataField name="Total distinct de Salesperson" fld="2" subtotal="count" baseField="1" baseItem="0">
      <extLst>
        <ext xmlns:x15="http://schemas.microsoft.com/office/spreadsheetml/2010/11/main" uri="{FABC7310-3BB5-11E1-824E-6D434824019B}">
          <x15:dataField isCountDistinct="1"/>
        </ext>
      </extLst>
    </dataField>
    <dataField name="Total distinct de OrderID" fld="3" subtotal="count" baseField="1" baseItem="1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6"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Total distinct de Salesperson"/>
    <pivotHierarchy dragToData="1" caption="Total distinct de OrderID"/>
  </pivotHierarchies>
  <pivotTableStyleInfo name="PivotStyleMedium9" showRowHeaders="1" showColHeaders="1" showRowStripes="0" showColStripes="0" showLastColumn="1"/>
  <rowHierarchiesUsage count="1">
    <rowHierarchyUsage hierarchyUsage="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_Vendeu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4E408F9-5F19-436E-947C-789319B2B2FB}" name="Tableau croisé dynamique6" cacheId="0" applyNumberFormats="0" applyBorderFormats="0" applyFontFormats="0" applyPatternFormats="0" applyAlignmentFormats="0" applyWidthHeightFormats="1" dataCaption="Valeurs" updatedVersion="7" minRefreshableVersion="3" useAutoFormatting="1" subtotalHiddenItems="1" rowGrandTotals="0" colGrandTotals="0" itemPrintTitles="1" createdVersion="7" indent="0" outline="1" outlineData="1" multipleFieldFilters="0" chartFormat="4">
  <location ref="G2:J15" firstHeaderRow="1" firstDataRow="2" firstDataCol="1"/>
  <pivotFields count="4"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  <pivotField allDrilled="1" subtotalTop="0" showAll="0" dataSourceSort="1" defaultSubtotal="0" defaultAttributeDrillState="1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</rowItems>
  <colFields count="1">
    <field x="2"/>
  </colFields>
  <colItems count="3">
    <i>
      <x/>
    </i>
    <i>
      <x v="1"/>
    </i>
    <i>
      <x v="2"/>
    </i>
  </colItems>
  <dataFields count="1">
    <dataField name="Somme de Order Amount" fld="0" baseField="0" baseItem="0"/>
  </dataFields>
  <chartFormats count="4"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3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7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_Vendeu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758146-C3B4-4384-A304-8497DD8123DC}" name="Tableau croisé dynamique5" cacheId="4" applyNumberFormats="0" applyBorderFormats="0" applyFontFormats="0" applyPatternFormats="0" applyAlignmentFormats="0" applyWidthHeightFormats="1" dataCaption="Valeurs" updatedVersion="7" minRefreshableVersion="3" useAutoFormatting="1" subtotalHiddenItems="1" rowGrandTotals="0" itemPrintTitles="1" createdVersion="7" indent="0" outline="1" outlineData="1" multipleFieldFilters="0" chartFormat="4">
  <location ref="A21:B24" firstHeaderRow="1" firstDataRow="1" firstDataCol="1"/>
  <pivotFields count="2">
    <pivotField dataField="1" subtotalTop="0" showAll="0" defaultSubtotal="0"/>
    <pivotField axis="axisRow" allDrilled="1" subtotalTop="0" showAll="0" dataSourceSort="1" defaultSubtotal="0" defaultAttributeDrillState="1">
      <items count="3">
        <item x="0"/>
        <item x="1"/>
        <item x="2"/>
      </items>
    </pivotField>
  </pivotFields>
  <rowFields count="1">
    <field x="1"/>
  </rowFields>
  <rowItems count="3">
    <i>
      <x/>
    </i>
    <i>
      <x v="1"/>
    </i>
    <i>
      <x v="2"/>
    </i>
  </rowItems>
  <colItems count="1">
    <i/>
  </colItems>
  <dataFields count="1">
    <dataField name="Somme de Order Amount" fld="0" baseField="0" baseItem="0"/>
  </dataFields>
  <chartFormats count="1">
    <chartFormat chart="3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16">
    <pivotHierarchy multipleItemSelectionAllowed="1" dragToData="1"/>
    <pivotHierarchy dragToData="1"/>
    <pivotHierarchy dragToData="1"/>
    <pivotHierarchy dragToData="1"/>
    <pivotHierarchy dragToData="1"/>
    <pivotHierarchy multipleItemSelectionAllowed="1" dragToData="1"/>
    <pivotHierarchy dragToData="1"/>
    <pivotHierarchy multipleItemSelectionAllowed="1"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</pivotHierarchies>
  <pivotTableStyleInfo name="PivotStyleMedium9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Donnée_Vendeur.xlsx!Table1">
        <x15:activeTabTopLevelEntity name="[Table1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Country" xr10:uid="{A5336822-CF15-4F57-8E27-C0C6F01FC184}" sourceName="[Table1].[Country]">
  <pivotTables>
    <pivotTable tabId="9" name="Tableau croisé dynamique5"/>
    <pivotTable tabId="9" name="Tableau croisé dynamique6"/>
    <pivotTable tabId="9" name="Tableau croisé dynamique7"/>
    <pivotTable tabId="9" name="Tableau croisé dynamique3"/>
    <pivotTable tabId="9" name="Tableau croisé dynamique4"/>
  </pivotTables>
  <data>
    <olap pivotCacheId="752664099">
      <levels count="2">
        <level uniqueName="[Table1].[Country].[(All)]" sourceCaption="(All)" count="0"/>
        <level uniqueName="[Table1].[Country].[Country]" sourceCaption="Country" count="2">
          <ranges>
            <range startItem="0">
              <i n="[Table1].[Country].&amp;[UK]" c="UK"/>
              <i n="[Table1].[Country].&amp;[USA]" c="USA"/>
            </range>
          </ranges>
        </level>
      </levels>
      <selections count="1">
        <selection n="[Table1].[Country].[All]"/>
      </selections>
    </olap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Order_Date__année" xr10:uid="{A7950B15-46F7-4A84-88BE-96FE0916CE10}" sourceName="[Table1].[Order Date (année)]">
  <pivotTables>
    <pivotTable tabId="9" name="Tableau croisé dynamique2"/>
    <pivotTable tabId="9" name="Tableau croisé dynamique3"/>
    <pivotTable tabId="9" name="Tableau croisé dynamique4"/>
    <pivotTable tabId="9" name="Tableau croisé dynamique5"/>
    <pivotTable tabId="9" name="Tableau croisé dynamique7"/>
  </pivotTables>
  <data>
    <olap pivotCacheId="752664099">
      <levels count="2">
        <level uniqueName="[Table1].[Order Date (année)].[(All)]" sourceCaption="(All)" count="0"/>
        <level uniqueName="[Table1].[Order Date (année)].[Order Date (année)]" sourceCaption="Order Date (année)" count="3">
          <ranges>
            <range startItem="0">
              <i n="[Table1].[Order Date (année)].&amp;[2003]" c="2003"/>
              <i n="[Table1].[Order Date (année)].&amp;[2004]" c="2004"/>
              <i n="[Table1].[Order Date (année)].&amp;[2005]" c="2005"/>
            </range>
          </ranges>
        </level>
      </levels>
      <selections count="1">
        <selection n="[Table1].[Order Date (année)].[All]"/>
      </selections>
    </olap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_Order_Date__mois" xr10:uid="{F6ABFAA3-2550-4870-BC61-7BC6CED08430}" sourceName="[Table1].[Order Date (mois)]">
  <pivotTables>
    <pivotTable tabId="9" name="Tableau croisé dynamique2"/>
    <pivotTable tabId="9" name="Tableau croisé dynamique3"/>
    <pivotTable tabId="9" name="Tableau croisé dynamique4"/>
    <pivotTable tabId="9" name="Tableau croisé dynamique5"/>
    <pivotTable tabId="9" name="Tableau croisé dynamique6"/>
    <pivotTable tabId="9" name="Tableau croisé dynamique7"/>
  </pivotTables>
  <data>
    <olap pivotCacheId="752664099">
      <levels count="2">
        <level uniqueName="[Table1].[Order Date (mois)].[(All)]" sourceCaption="(All)" count="0"/>
        <level uniqueName="[Table1].[Order Date (mois)].[Order Date (mois)]" sourceCaption="Order Date (mois)" count="12">
          <ranges>
            <range startItem="0">
              <i n="[Table1].[Order Date (mois)].&amp;[Jan]" c="Jan"/>
              <i n="[Table1].[Order Date (mois)].&amp;[Feb]" c="Feb"/>
              <i n="[Table1].[Order Date (mois)].&amp;[Mar]" c="Mar"/>
              <i n="[Table1].[Order Date (mois)].&amp;[Apr]" c="Apr"/>
              <i n="[Table1].[Order Date (mois)].&amp;[May]" c="May"/>
              <i n="[Table1].[Order Date (mois)].&amp;[Jun]" c="Jun"/>
              <i n="[Table1].[Order Date (mois)].&amp;[Jul]" c="Jul"/>
              <i n="[Table1].[Order Date (mois)].&amp;[Aug]" c="Aug"/>
              <i n="[Table1].[Order Date (mois)].&amp;[Sep]" c="Sep"/>
              <i n="[Table1].[Order Date (mois)].&amp;[Oct]" c="Oct"/>
              <i n="[Table1].[Order Date (mois)].&amp;[Nov]" c="Nov"/>
              <i n="[Table1].[Order Date (mois)].&amp;[Dec]" c="Dec"/>
            </range>
          </ranges>
        </level>
      </levels>
      <selections count="1">
        <selection n="[Table1].[Order Date (mois)].[All]"/>
      </selections>
    </olap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Country" xr10:uid="{2257D3B9-6BF0-48EF-848C-87E612FEFBC9}" cache="Segment_Country" caption="PAYS" level="1" style="Style de segment 1" rowHeight="241300"/>
  <slicer name="Order Date (année)" xr10:uid="{F8FB3AF3-6F84-419B-A96E-112C2FCE1870}" cache="Segment_Order_Date__année" caption="ANNÉES" level="1" style="Style de segment 1" rowHeight="241300"/>
  <slicer name="Order Date (mois)" xr10:uid="{2A893974-8F40-4B61-BF3C-4B9F9732C064}" cache="Segment_Order_Date__mois" caption="MOIS" columnCount="2" level="1" style="Style de segment 1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76C2952-EA90-4C98-9DDB-C44147CA7F79}" name="Table1" displayName="Table1" ref="A1:E800" totalsRowShown="0" headerRowDxfId="6" dataDxfId="5" headerRowCellStyle="Normal 2" dataCellStyle="Normal 2">
  <autoFilter ref="A1:E800" xr:uid="{776C2952-EA90-4C98-9DDB-C44147CA7F79}"/>
  <tableColumns count="5">
    <tableColumn id="1" xr3:uid="{7CD55B81-F3C5-4D7D-A26D-B97B9249F3E9}" name="Country" dataDxfId="4" dataCellStyle="Normal 2"/>
    <tableColumn id="2" xr3:uid="{D8E8EBB8-3CC5-4409-B0AD-62E4F72499E6}" name="Salesperson" dataDxfId="3" dataCellStyle="Normal 2"/>
    <tableColumn id="3" xr3:uid="{71F8D15B-102A-489D-BE5E-64FC55A822DF}" name="Order Date" dataDxfId="2" dataCellStyle="Normal 2"/>
    <tableColumn id="4" xr3:uid="{8246DA7A-A67F-47C2-A438-2F0977DF29B9}" name="OrderID" dataDxfId="1" dataCellStyle="Normal 2"/>
    <tableColumn id="5" xr3:uid="{B64D93FF-2A9A-4364-929D-980463DDAC64}" name="Order Amount" dataDxfId="0" dataCellStyle="Normal 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00"/>
  <sheetViews>
    <sheetView topLeftCell="A3" zoomScaleNormal="100" workbookViewId="0">
      <selection activeCell="C11" sqref="C11"/>
    </sheetView>
  </sheetViews>
  <sheetFormatPr baseColWidth="10" defaultColWidth="9.140625" defaultRowHeight="15" x14ac:dyDescent="0.25"/>
  <cols>
    <col min="1" max="1" width="12.42578125" style="4" customWidth="1"/>
    <col min="2" max="2" width="16.28515625" style="4" customWidth="1"/>
    <col min="3" max="3" width="16.28515625" style="6" customWidth="1"/>
    <col min="4" max="4" width="12.7109375" style="4" customWidth="1"/>
    <col min="5" max="5" width="16.28515625" style="10" customWidth="1"/>
  </cols>
  <sheetData>
    <row r="1" spans="1:5" x14ac:dyDescent="0.25">
      <c r="A1" s="2" t="s">
        <v>0</v>
      </c>
      <c r="B1" s="2" t="s">
        <v>1</v>
      </c>
      <c r="C1" s="5" t="s">
        <v>2</v>
      </c>
      <c r="D1" s="7" t="s">
        <v>3</v>
      </c>
      <c r="E1" s="8" t="s">
        <v>4</v>
      </c>
    </row>
    <row r="2" spans="1:5" x14ac:dyDescent="0.25">
      <c r="A2" s="3" t="s">
        <v>5</v>
      </c>
      <c r="B2" s="3" t="s">
        <v>6</v>
      </c>
      <c r="C2" s="1">
        <v>37818</v>
      </c>
      <c r="D2" s="3">
        <v>10248</v>
      </c>
      <c r="E2" s="9">
        <v>440</v>
      </c>
    </row>
    <row r="3" spans="1:5" x14ac:dyDescent="0.25">
      <c r="A3" s="3" t="s">
        <v>5</v>
      </c>
      <c r="B3" s="3" t="s">
        <v>7</v>
      </c>
      <c r="C3" s="1">
        <v>37812</v>
      </c>
      <c r="D3" s="3">
        <v>10249</v>
      </c>
      <c r="E3" s="9">
        <v>1863.4</v>
      </c>
    </row>
    <row r="4" spans="1:5" x14ac:dyDescent="0.25">
      <c r="A4" s="3" t="s">
        <v>8</v>
      </c>
      <c r="B4" s="3" t="s">
        <v>9</v>
      </c>
      <c r="C4" s="1">
        <v>37814</v>
      </c>
      <c r="D4" s="3">
        <v>10250</v>
      </c>
      <c r="E4" s="9">
        <v>1552.6</v>
      </c>
    </row>
    <row r="5" spans="1:5" x14ac:dyDescent="0.25">
      <c r="A5" s="3" t="s">
        <v>8</v>
      </c>
      <c r="B5" s="3" t="s">
        <v>10</v>
      </c>
      <c r="C5" s="1">
        <v>37817</v>
      </c>
      <c r="D5" s="3">
        <v>10251</v>
      </c>
      <c r="E5" s="9">
        <v>654.05999999999995</v>
      </c>
    </row>
    <row r="6" spans="1:5" x14ac:dyDescent="0.25">
      <c r="A6" s="3" t="s">
        <v>8</v>
      </c>
      <c r="B6" s="3" t="s">
        <v>9</v>
      </c>
      <c r="C6" s="1">
        <v>37813</v>
      </c>
      <c r="D6" s="3">
        <v>10252</v>
      </c>
      <c r="E6" s="9">
        <v>3597.9</v>
      </c>
    </row>
    <row r="7" spans="1:5" x14ac:dyDescent="0.25">
      <c r="A7" s="3" t="s">
        <v>8</v>
      </c>
      <c r="B7" s="3" t="s">
        <v>10</v>
      </c>
      <c r="C7" s="1">
        <v>37818</v>
      </c>
      <c r="D7" s="3">
        <v>10253</v>
      </c>
      <c r="E7" s="9">
        <v>1444.8</v>
      </c>
    </row>
    <row r="8" spans="1:5" x14ac:dyDescent="0.25">
      <c r="A8" s="3" t="s">
        <v>5</v>
      </c>
      <c r="B8" s="3" t="s">
        <v>6</v>
      </c>
      <c r="C8" s="1">
        <v>37825</v>
      </c>
      <c r="D8" s="3">
        <v>10254</v>
      </c>
      <c r="E8" s="9">
        <v>556.62</v>
      </c>
    </row>
    <row r="9" spans="1:5" x14ac:dyDescent="0.25">
      <c r="A9" s="3" t="s">
        <v>5</v>
      </c>
      <c r="B9" s="3" t="s">
        <v>11</v>
      </c>
      <c r="C9" s="1">
        <v>37817</v>
      </c>
      <c r="D9" s="3">
        <v>10255</v>
      </c>
      <c r="E9" s="9">
        <v>2490.5</v>
      </c>
    </row>
    <row r="10" spans="1:5" x14ac:dyDescent="0.25">
      <c r="A10" s="3" t="s">
        <v>8</v>
      </c>
      <c r="B10" s="3" t="s">
        <v>10</v>
      </c>
      <c r="C10" s="1">
        <v>37819</v>
      </c>
      <c r="D10" s="3">
        <v>10256</v>
      </c>
      <c r="E10" s="9">
        <v>517.79999999999995</v>
      </c>
    </row>
    <row r="11" spans="1:5" x14ac:dyDescent="0.25">
      <c r="A11" s="3" t="s">
        <v>8</v>
      </c>
      <c r="B11" s="3" t="s">
        <v>9</v>
      </c>
      <c r="C11" s="1">
        <v>37824</v>
      </c>
      <c r="D11" s="3">
        <v>10257</v>
      </c>
      <c r="E11" s="9">
        <v>1119.9000000000001</v>
      </c>
    </row>
    <row r="12" spans="1:5" x14ac:dyDescent="0.25">
      <c r="A12" s="3" t="s">
        <v>8</v>
      </c>
      <c r="B12" s="3" t="s">
        <v>12</v>
      </c>
      <c r="C12" s="1">
        <v>37825</v>
      </c>
      <c r="D12" s="3">
        <v>10258</v>
      </c>
      <c r="E12" s="9">
        <v>1614.88</v>
      </c>
    </row>
    <row r="13" spans="1:5" x14ac:dyDescent="0.25">
      <c r="A13" s="3" t="s">
        <v>8</v>
      </c>
      <c r="B13" s="3" t="s">
        <v>9</v>
      </c>
      <c r="C13" s="1">
        <v>37827</v>
      </c>
      <c r="D13" s="3">
        <v>10259</v>
      </c>
      <c r="E13" s="9">
        <v>100.8</v>
      </c>
    </row>
    <row r="14" spans="1:5" x14ac:dyDescent="0.25">
      <c r="A14" s="3" t="s">
        <v>8</v>
      </c>
      <c r="B14" s="3" t="s">
        <v>9</v>
      </c>
      <c r="C14" s="1">
        <v>37831</v>
      </c>
      <c r="D14" s="3">
        <v>10260</v>
      </c>
      <c r="E14" s="9">
        <v>1504.65</v>
      </c>
    </row>
    <row r="15" spans="1:5" x14ac:dyDescent="0.25">
      <c r="A15" s="3" t="s">
        <v>8</v>
      </c>
      <c r="B15" s="3" t="s">
        <v>9</v>
      </c>
      <c r="C15" s="1">
        <v>37832</v>
      </c>
      <c r="D15" s="3">
        <v>10261</v>
      </c>
      <c r="E15" s="9">
        <v>448</v>
      </c>
    </row>
    <row r="16" spans="1:5" x14ac:dyDescent="0.25">
      <c r="A16" s="3" t="s">
        <v>8</v>
      </c>
      <c r="B16" s="3" t="s">
        <v>13</v>
      </c>
      <c r="C16" s="1">
        <v>37827</v>
      </c>
      <c r="D16" s="3">
        <v>10262</v>
      </c>
      <c r="E16" s="9">
        <v>584</v>
      </c>
    </row>
    <row r="17" spans="1:5" x14ac:dyDescent="0.25">
      <c r="A17" s="3" t="s">
        <v>5</v>
      </c>
      <c r="B17" s="3" t="s">
        <v>11</v>
      </c>
      <c r="C17" s="1">
        <v>37833</v>
      </c>
      <c r="D17" s="3">
        <v>10263</v>
      </c>
      <c r="E17" s="9">
        <v>1873.8</v>
      </c>
    </row>
    <row r="18" spans="1:5" x14ac:dyDescent="0.25">
      <c r="A18" s="3" t="s">
        <v>5</v>
      </c>
      <c r="B18" s="3" t="s">
        <v>7</v>
      </c>
      <c r="C18" s="1">
        <v>37856</v>
      </c>
      <c r="D18" s="3">
        <v>10264</v>
      </c>
      <c r="E18" s="9">
        <v>695.62</v>
      </c>
    </row>
    <row r="19" spans="1:5" x14ac:dyDescent="0.25">
      <c r="A19" s="3" t="s">
        <v>8</v>
      </c>
      <c r="B19" s="3" t="s">
        <v>14</v>
      </c>
      <c r="C19" s="1">
        <v>37845</v>
      </c>
      <c r="D19" s="3">
        <v>10265</v>
      </c>
      <c r="E19" s="9">
        <v>1176</v>
      </c>
    </row>
    <row r="20" spans="1:5" x14ac:dyDescent="0.25">
      <c r="A20" s="3" t="s">
        <v>8</v>
      </c>
      <c r="B20" s="3" t="s">
        <v>10</v>
      </c>
      <c r="C20" s="1">
        <v>37833</v>
      </c>
      <c r="D20" s="3">
        <v>10266</v>
      </c>
      <c r="E20" s="9">
        <v>346.56</v>
      </c>
    </row>
    <row r="21" spans="1:5" x14ac:dyDescent="0.25">
      <c r="A21" s="3" t="s">
        <v>8</v>
      </c>
      <c r="B21" s="3" t="s">
        <v>9</v>
      </c>
      <c r="C21" s="1">
        <v>37839</v>
      </c>
      <c r="D21" s="3">
        <v>10267</v>
      </c>
      <c r="E21" s="9">
        <v>3536.6</v>
      </c>
    </row>
    <row r="22" spans="1:5" x14ac:dyDescent="0.25">
      <c r="A22" s="3" t="s">
        <v>8</v>
      </c>
      <c r="B22" s="3" t="s">
        <v>13</v>
      </c>
      <c r="C22" s="1">
        <v>37835</v>
      </c>
      <c r="D22" s="3">
        <v>10268</v>
      </c>
      <c r="E22" s="9">
        <v>1101.2</v>
      </c>
    </row>
    <row r="23" spans="1:5" x14ac:dyDescent="0.25">
      <c r="A23" s="3" t="s">
        <v>5</v>
      </c>
      <c r="B23" s="3" t="s">
        <v>6</v>
      </c>
      <c r="C23" s="1">
        <v>37842</v>
      </c>
      <c r="D23" s="3">
        <v>10269</v>
      </c>
      <c r="E23" s="9">
        <v>642.20000000000005</v>
      </c>
    </row>
    <row r="24" spans="1:5" x14ac:dyDescent="0.25">
      <c r="A24" s="3" t="s">
        <v>8</v>
      </c>
      <c r="B24" s="3" t="s">
        <v>12</v>
      </c>
      <c r="C24" s="1">
        <v>37835</v>
      </c>
      <c r="D24" s="3">
        <v>10270</v>
      </c>
      <c r="E24" s="9">
        <v>1376</v>
      </c>
    </row>
    <row r="25" spans="1:5" x14ac:dyDescent="0.25">
      <c r="A25" s="3" t="s">
        <v>5</v>
      </c>
      <c r="B25" s="3" t="s">
        <v>7</v>
      </c>
      <c r="C25" s="1">
        <v>37863</v>
      </c>
      <c r="D25" s="3">
        <v>10271</v>
      </c>
      <c r="E25" s="9">
        <v>48</v>
      </c>
    </row>
    <row r="26" spans="1:5" x14ac:dyDescent="0.25">
      <c r="A26" s="3" t="s">
        <v>5</v>
      </c>
      <c r="B26" s="3" t="s">
        <v>7</v>
      </c>
      <c r="C26" s="1">
        <v>37839</v>
      </c>
      <c r="D26" s="3">
        <v>10272</v>
      </c>
      <c r="E26" s="9">
        <v>1456</v>
      </c>
    </row>
    <row r="27" spans="1:5" x14ac:dyDescent="0.25">
      <c r="A27" s="3" t="s">
        <v>8</v>
      </c>
      <c r="B27" s="3" t="s">
        <v>10</v>
      </c>
      <c r="C27" s="1">
        <v>37845</v>
      </c>
      <c r="D27" s="3">
        <v>10273</v>
      </c>
      <c r="E27" s="9">
        <v>2037.28</v>
      </c>
    </row>
    <row r="28" spans="1:5" x14ac:dyDescent="0.25">
      <c r="A28" s="3" t="s">
        <v>5</v>
      </c>
      <c r="B28" s="3" t="s">
        <v>7</v>
      </c>
      <c r="C28" s="1">
        <v>37849</v>
      </c>
      <c r="D28" s="3">
        <v>10274</v>
      </c>
      <c r="E28" s="9">
        <v>538.6</v>
      </c>
    </row>
    <row r="29" spans="1:5" x14ac:dyDescent="0.25">
      <c r="A29" s="3" t="s">
        <v>8</v>
      </c>
      <c r="B29" s="3" t="s">
        <v>12</v>
      </c>
      <c r="C29" s="1">
        <v>37842</v>
      </c>
      <c r="D29" s="3">
        <v>10275</v>
      </c>
      <c r="E29" s="9">
        <v>291.83999999999997</v>
      </c>
    </row>
    <row r="30" spans="1:5" x14ac:dyDescent="0.25">
      <c r="A30" s="3" t="s">
        <v>8</v>
      </c>
      <c r="B30" s="3" t="s">
        <v>13</v>
      </c>
      <c r="C30" s="1">
        <v>37847</v>
      </c>
      <c r="D30" s="3">
        <v>10276</v>
      </c>
      <c r="E30" s="9">
        <v>420</v>
      </c>
    </row>
    <row r="31" spans="1:5" x14ac:dyDescent="0.25">
      <c r="A31" s="3" t="s">
        <v>8</v>
      </c>
      <c r="B31" s="3" t="s">
        <v>14</v>
      </c>
      <c r="C31" s="1">
        <v>37846</v>
      </c>
      <c r="D31" s="3">
        <v>10277</v>
      </c>
      <c r="E31" s="9">
        <v>1200.8</v>
      </c>
    </row>
    <row r="32" spans="1:5" x14ac:dyDescent="0.25">
      <c r="A32" s="3" t="s">
        <v>8</v>
      </c>
      <c r="B32" s="3" t="s">
        <v>13</v>
      </c>
      <c r="C32" s="1">
        <v>37849</v>
      </c>
      <c r="D32" s="3">
        <v>10278</v>
      </c>
      <c r="E32" s="9">
        <v>1488.8</v>
      </c>
    </row>
    <row r="33" spans="1:5" x14ac:dyDescent="0.25">
      <c r="A33" s="3" t="s">
        <v>8</v>
      </c>
      <c r="B33" s="3" t="s">
        <v>13</v>
      </c>
      <c r="C33" s="1">
        <v>37849</v>
      </c>
      <c r="D33" s="3">
        <v>10279</v>
      </c>
      <c r="E33" s="9">
        <v>351</v>
      </c>
    </row>
    <row r="34" spans="1:5" x14ac:dyDescent="0.25">
      <c r="A34" s="3" t="s">
        <v>8</v>
      </c>
      <c r="B34" s="3" t="s">
        <v>14</v>
      </c>
      <c r="C34" s="1">
        <v>37876</v>
      </c>
      <c r="D34" s="3">
        <v>10280</v>
      </c>
      <c r="E34" s="9">
        <v>613.20000000000005</v>
      </c>
    </row>
    <row r="35" spans="1:5" x14ac:dyDescent="0.25">
      <c r="A35" s="3" t="s">
        <v>8</v>
      </c>
      <c r="B35" s="3" t="s">
        <v>9</v>
      </c>
      <c r="C35" s="1">
        <v>37854</v>
      </c>
      <c r="D35" s="3">
        <v>10281</v>
      </c>
      <c r="E35" s="9">
        <v>86.5</v>
      </c>
    </row>
    <row r="36" spans="1:5" x14ac:dyDescent="0.25">
      <c r="A36" s="3" t="s">
        <v>8</v>
      </c>
      <c r="B36" s="3" t="s">
        <v>9</v>
      </c>
      <c r="C36" s="1">
        <v>37854</v>
      </c>
      <c r="D36" s="3">
        <v>10282</v>
      </c>
      <c r="E36" s="9">
        <v>155.4</v>
      </c>
    </row>
    <row r="37" spans="1:5" x14ac:dyDescent="0.25">
      <c r="A37" s="3" t="s">
        <v>8</v>
      </c>
      <c r="B37" s="3" t="s">
        <v>10</v>
      </c>
      <c r="C37" s="1">
        <v>37856</v>
      </c>
      <c r="D37" s="3">
        <v>10283</v>
      </c>
      <c r="E37" s="9">
        <v>1414.8</v>
      </c>
    </row>
    <row r="38" spans="1:5" x14ac:dyDescent="0.25">
      <c r="A38" s="3" t="s">
        <v>8</v>
      </c>
      <c r="B38" s="3" t="s">
        <v>9</v>
      </c>
      <c r="C38" s="1">
        <v>37860</v>
      </c>
      <c r="D38" s="3">
        <v>10284</v>
      </c>
      <c r="E38" s="9">
        <v>1170.3699999999999</v>
      </c>
    </row>
    <row r="39" spans="1:5" x14ac:dyDescent="0.25">
      <c r="A39" s="3" t="s">
        <v>8</v>
      </c>
      <c r="B39" s="3" t="s">
        <v>12</v>
      </c>
      <c r="C39" s="1">
        <v>37859</v>
      </c>
      <c r="D39" s="3">
        <v>10285</v>
      </c>
      <c r="E39" s="9">
        <v>1743.36</v>
      </c>
    </row>
    <row r="40" spans="1:5" x14ac:dyDescent="0.25">
      <c r="A40" s="3" t="s">
        <v>8</v>
      </c>
      <c r="B40" s="3" t="s">
        <v>13</v>
      </c>
      <c r="C40" s="1">
        <v>37863</v>
      </c>
      <c r="D40" s="3">
        <v>10286</v>
      </c>
      <c r="E40" s="9">
        <v>3016</v>
      </c>
    </row>
    <row r="41" spans="1:5" x14ac:dyDescent="0.25">
      <c r="A41" s="3" t="s">
        <v>8</v>
      </c>
      <c r="B41" s="3" t="s">
        <v>13</v>
      </c>
      <c r="C41" s="1">
        <v>37861</v>
      </c>
      <c r="D41" s="3">
        <v>10287</v>
      </c>
      <c r="E41" s="9">
        <v>819</v>
      </c>
    </row>
    <row r="42" spans="1:5" x14ac:dyDescent="0.25">
      <c r="A42" s="3" t="s">
        <v>8</v>
      </c>
      <c r="B42" s="3" t="s">
        <v>9</v>
      </c>
      <c r="C42" s="1">
        <v>37867</v>
      </c>
      <c r="D42" s="3">
        <v>10288</v>
      </c>
      <c r="E42" s="9">
        <v>80.099999999999994</v>
      </c>
    </row>
    <row r="43" spans="1:5" x14ac:dyDescent="0.25">
      <c r="A43" s="3" t="s">
        <v>5</v>
      </c>
      <c r="B43" s="3" t="s">
        <v>15</v>
      </c>
      <c r="C43" s="1">
        <v>37861</v>
      </c>
      <c r="D43" s="3">
        <v>10289</v>
      </c>
      <c r="E43" s="9">
        <v>479.4</v>
      </c>
    </row>
    <row r="44" spans="1:5" x14ac:dyDescent="0.25">
      <c r="A44" s="3" t="s">
        <v>8</v>
      </c>
      <c r="B44" s="3" t="s">
        <v>13</v>
      </c>
      <c r="C44" s="1">
        <v>37867</v>
      </c>
      <c r="D44" s="3">
        <v>10290</v>
      </c>
      <c r="E44" s="9">
        <v>2169</v>
      </c>
    </row>
    <row r="45" spans="1:5" x14ac:dyDescent="0.25">
      <c r="A45" s="3" t="s">
        <v>5</v>
      </c>
      <c r="B45" s="3" t="s">
        <v>7</v>
      </c>
      <c r="C45" s="1">
        <v>37868</v>
      </c>
      <c r="D45" s="3">
        <v>10291</v>
      </c>
      <c r="E45" s="9">
        <v>497.52</v>
      </c>
    </row>
    <row r="46" spans="1:5" x14ac:dyDescent="0.25">
      <c r="A46" s="3" t="s">
        <v>8</v>
      </c>
      <c r="B46" s="3" t="s">
        <v>12</v>
      </c>
      <c r="C46" s="1">
        <v>37866</v>
      </c>
      <c r="D46" s="3">
        <v>10292</v>
      </c>
      <c r="E46" s="9">
        <v>1296</v>
      </c>
    </row>
    <row r="47" spans="1:5" x14ac:dyDescent="0.25">
      <c r="A47" s="3" t="s">
        <v>8</v>
      </c>
      <c r="B47" s="3" t="s">
        <v>12</v>
      </c>
      <c r="C47" s="1">
        <v>37875</v>
      </c>
      <c r="D47" s="3">
        <v>10293</v>
      </c>
      <c r="E47" s="9">
        <v>848.7</v>
      </c>
    </row>
    <row r="48" spans="1:5" x14ac:dyDescent="0.25">
      <c r="A48" s="3" t="s">
        <v>8</v>
      </c>
      <c r="B48" s="3" t="s">
        <v>9</v>
      </c>
      <c r="C48" s="1">
        <v>37869</v>
      </c>
      <c r="D48" s="3">
        <v>10294</v>
      </c>
      <c r="E48" s="9">
        <v>1887.6</v>
      </c>
    </row>
    <row r="49" spans="1:5" x14ac:dyDescent="0.25">
      <c r="A49" s="3" t="s">
        <v>8</v>
      </c>
      <c r="B49" s="3" t="s">
        <v>14</v>
      </c>
      <c r="C49" s="1">
        <v>37874</v>
      </c>
      <c r="D49" s="3">
        <v>10295</v>
      </c>
      <c r="E49" s="9">
        <v>121.6</v>
      </c>
    </row>
    <row r="50" spans="1:5" x14ac:dyDescent="0.25">
      <c r="A50" s="3" t="s">
        <v>5</v>
      </c>
      <c r="B50" s="3" t="s">
        <v>7</v>
      </c>
      <c r="C50" s="1">
        <v>37875</v>
      </c>
      <c r="D50" s="3">
        <v>10296</v>
      </c>
      <c r="E50" s="9">
        <v>1050.5999999999999</v>
      </c>
    </row>
    <row r="51" spans="1:5" x14ac:dyDescent="0.25">
      <c r="A51" s="3" t="s">
        <v>5</v>
      </c>
      <c r="B51" s="3" t="s">
        <v>6</v>
      </c>
      <c r="C51" s="1">
        <v>37874</v>
      </c>
      <c r="D51" s="3">
        <v>10297</v>
      </c>
      <c r="E51" s="9">
        <v>1420</v>
      </c>
    </row>
    <row r="52" spans="1:5" x14ac:dyDescent="0.25">
      <c r="A52" s="3" t="s">
        <v>5</v>
      </c>
      <c r="B52" s="3" t="s">
        <v>7</v>
      </c>
      <c r="C52" s="1">
        <v>37875</v>
      </c>
      <c r="D52" s="3">
        <v>10298</v>
      </c>
      <c r="E52" s="9">
        <v>2645</v>
      </c>
    </row>
    <row r="53" spans="1:5" x14ac:dyDescent="0.25">
      <c r="A53" s="3" t="s">
        <v>8</v>
      </c>
      <c r="B53" s="3" t="s">
        <v>9</v>
      </c>
      <c r="C53" s="1">
        <v>37877</v>
      </c>
      <c r="D53" s="3">
        <v>10299</v>
      </c>
      <c r="E53" s="9">
        <v>349.5</v>
      </c>
    </row>
    <row r="54" spans="1:5" x14ac:dyDescent="0.25">
      <c r="A54" s="3" t="s">
        <v>8</v>
      </c>
      <c r="B54" s="3" t="s">
        <v>14</v>
      </c>
      <c r="C54" s="1">
        <v>37882</v>
      </c>
      <c r="D54" s="3">
        <v>10300</v>
      </c>
      <c r="E54" s="9">
        <v>608</v>
      </c>
    </row>
    <row r="55" spans="1:5" x14ac:dyDescent="0.25">
      <c r="A55" s="3" t="s">
        <v>8</v>
      </c>
      <c r="B55" s="3" t="s">
        <v>13</v>
      </c>
      <c r="C55" s="1">
        <v>37881</v>
      </c>
      <c r="D55" s="3">
        <v>10301</v>
      </c>
      <c r="E55" s="9">
        <v>755</v>
      </c>
    </row>
    <row r="56" spans="1:5" x14ac:dyDescent="0.25">
      <c r="A56" s="3" t="s">
        <v>8</v>
      </c>
      <c r="B56" s="3" t="s">
        <v>9</v>
      </c>
      <c r="C56" s="1">
        <v>37903</v>
      </c>
      <c r="D56" s="3">
        <v>10302</v>
      </c>
      <c r="E56" s="9">
        <v>2708.8</v>
      </c>
    </row>
    <row r="57" spans="1:5" x14ac:dyDescent="0.25">
      <c r="A57" s="3" t="s">
        <v>5</v>
      </c>
      <c r="B57" s="3" t="s">
        <v>15</v>
      </c>
      <c r="C57" s="1">
        <v>37882</v>
      </c>
      <c r="D57" s="3">
        <v>10303</v>
      </c>
      <c r="E57" s="9">
        <v>1117.8</v>
      </c>
    </row>
    <row r="58" spans="1:5" x14ac:dyDescent="0.25">
      <c r="A58" s="3" t="s">
        <v>8</v>
      </c>
      <c r="B58" s="3" t="s">
        <v>12</v>
      </c>
      <c r="C58" s="1">
        <v>37881</v>
      </c>
      <c r="D58" s="3">
        <v>10304</v>
      </c>
      <c r="E58" s="9">
        <v>954.4</v>
      </c>
    </row>
    <row r="59" spans="1:5" x14ac:dyDescent="0.25">
      <c r="A59" s="3" t="s">
        <v>8</v>
      </c>
      <c r="B59" s="3" t="s">
        <v>13</v>
      </c>
      <c r="C59" s="1">
        <v>37903</v>
      </c>
      <c r="D59" s="3">
        <v>10305</v>
      </c>
      <c r="E59" s="9">
        <v>3741.3</v>
      </c>
    </row>
    <row r="60" spans="1:5" x14ac:dyDescent="0.25">
      <c r="A60" s="3" t="s">
        <v>8</v>
      </c>
      <c r="B60" s="3" t="s">
        <v>12</v>
      </c>
      <c r="C60" s="1">
        <v>37887</v>
      </c>
      <c r="D60" s="3">
        <v>10306</v>
      </c>
      <c r="E60" s="9">
        <v>498.5</v>
      </c>
    </row>
    <row r="61" spans="1:5" x14ac:dyDescent="0.25">
      <c r="A61" s="3" t="s">
        <v>8</v>
      </c>
      <c r="B61" s="3" t="s">
        <v>14</v>
      </c>
      <c r="C61" s="1">
        <v>37889</v>
      </c>
      <c r="D61" s="3">
        <v>10307</v>
      </c>
      <c r="E61" s="9">
        <v>424</v>
      </c>
    </row>
    <row r="62" spans="1:5" x14ac:dyDescent="0.25">
      <c r="A62" s="3" t="s">
        <v>5</v>
      </c>
      <c r="B62" s="3" t="s">
        <v>15</v>
      </c>
      <c r="C62" s="1">
        <v>37888</v>
      </c>
      <c r="D62" s="3">
        <v>10308</v>
      </c>
      <c r="E62" s="9">
        <v>88.8</v>
      </c>
    </row>
    <row r="63" spans="1:5" x14ac:dyDescent="0.25">
      <c r="A63" s="3" t="s">
        <v>8</v>
      </c>
      <c r="B63" s="3" t="s">
        <v>10</v>
      </c>
      <c r="C63" s="1">
        <v>37917</v>
      </c>
      <c r="D63" s="3">
        <v>10309</v>
      </c>
      <c r="E63" s="9">
        <v>1762</v>
      </c>
    </row>
    <row r="64" spans="1:5" x14ac:dyDescent="0.25">
      <c r="A64" s="3" t="s">
        <v>8</v>
      </c>
      <c r="B64" s="3" t="s">
        <v>13</v>
      </c>
      <c r="C64" s="1">
        <v>37891</v>
      </c>
      <c r="D64" s="3">
        <v>10310</v>
      </c>
      <c r="E64" s="9">
        <v>336</v>
      </c>
    </row>
    <row r="65" spans="1:5" x14ac:dyDescent="0.25">
      <c r="A65" s="3" t="s">
        <v>8</v>
      </c>
      <c r="B65" s="3" t="s">
        <v>12</v>
      </c>
      <c r="C65" s="1">
        <v>37890</v>
      </c>
      <c r="D65" s="3">
        <v>10311</v>
      </c>
      <c r="E65" s="9">
        <v>268.8</v>
      </c>
    </row>
    <row r="66" spans="1:5" x14ac:dyDescent="0.25">
      <c r="A66" s="3" t="s">
        <v>8</v>
      </c>
      <c r="B66" s="3" t="s">
        <v>14</v>
      </c>
      <c r="C66" s="1">
        <v>37897</v>
      </c>
      <c r="D66" s="3">
        <v>10312</v>
      </c>
      <c r="E66" s="9">
        <v>1614.8</v>
      </c>
    </row>
    <row r="67" spans="1:5" x14ac:dyDescent="0.25">
      <c r="A67" s="3" t="s">
        <v>8</v>
      </c>
      <c r="B67" s="3" t="s">
        <v>14</v>
      </c>
      <c r="C67" s="1">
        <v>37898</v>
      </c>
      <c r="D67" s="3">
        <v>10313</v>
      </c>
      <c r="E67" s="9">
        <v>182.4</v>
      </c>
    </row>
    <row r="68" spans="1:5" x14ac:dyDescent="0.25">
      <c r="A68" s="3" t="s">
        <v>8</v>
      </c>
      <c r="B68" s="3" t="s">
        <v>12</v>
      </c>
      <c r="C68" s="1">
        <v>37898</v>
      </c>
      <c r="D68" s="3">
        <v>10314</v>
      </c>
      <c r="E68" s="9">
        <v>2094.3000000000002</v>
      </c>
    </row>
    <row r="69" spans="1:5" x14ac:dyDescent="0.25">
      <c r="A69" s="3" t="s">
        <v>8</v>
      </c>
      <c r="B69" s="3" t="s">
        <v>9</v>
      </c>
      <c r="C69" s="1">
        <v>37897</v>
      </c>
      <c r="D69" s="3">
        <v>10315</v>
      </c>
      <c r="E69" s="9">
        <v>516.79999999999995</v>
      </c>
    </row>
    <row r="70" spans="1:5" x14ac:dyDescent="0.25">
      <c r="A70" s="3" t="s">
        <v>8</v>
      </c>
      <c r="B70" s="3" t="s">
        <v>12</v>
      </c>
      <c r="C70" s="1">
        <v>37902</v>
      </c>
      <c r="D70" s="3">
        <v>10316</v>
      </c>
      <c r="E70" s="9">
        <v>2835</v>
      </c>
    </row>
    <row r="71" spans="1:5" x14ac:dyDescent="0.25">
      <c r="A71" s="3" t="s">
        <v>5</v>
      </c>
      <c r="B71" s="3" t="s">
        <v>7</v>
      </c>
      <c r="C71" s="1">
        <v>37904</v>
      </c>
      <c r="D71" s="3">
        <v>10317</v>
      </c>
      <c r="E71" s="9">
        <v>288</v>
      </c>
    </row>
    <row r="72" spans="1:5" x14ac:dyDescent="0.25">
      <c r="A72" s="3" t="s">
        <v>8</v>
      </c>
      <c r="B72" s="3" t="s">
        <v>13</v>
      </c>
      <c r="C72" s="1">
        <v>37898</v>
      </c>
      <c r="D72" s="3">
        <v>10318</v>
      </c>
      <c r="E72" s="9">
        <v>240.4</v>
      </c>
    </row>
    <row r="73" spans="1:5" x14ac:dyDescent="0.25">
      <c r="A73" s="3" t="s">
        <v>5</v>
      </c>
      <c r="B73" s="3" t="s">
        <v>15</v>
      </c>
      <c r="C73" s="1">
        <v>37905</v>
      </c>
      <c r="D73" s="3">
        <v>10319</v>
      </c>
      <c r="E73" s="9">
        <v>1191.2</v>
      </c>
    </row>
    <row r="74" spans="1:5" x14ac:dyDescent="0.25">
      <c r="A74" s="3" t="s">
        <v>5</v>
      </c>
      <c r="B74" s="3" t="s">
        <v>6</v>
      </c>
      <c r="C74" s="1">
        <v>37912</v>
      </c>
      <c r="D74" s="3">
        <v>10320</v>
      </c>
      <c r="E74" s="9">
        <v>516</v>
      </c>
    </row>
    <row r="75" spans="1:5" x14ac:dyDescent="0.25">
      <c r="A75" s="3" t="s">
        <v>8</v>
      </c>
      <c r="B75" s="3" t="s">
        <v>10</v>
      </c>
      <c r="C75" s="1">
        <v>37905</v>
      </c>
      <c r="D75" s="3">
        <v>10321</v>
      </c>
      <c r="E75" s="9">
        <v>144</v>
      </c>
    </row>
    <row r="76" spans="1:5" x14ac:dyDescent="0.25">
      <c r="A76" s="3" t="s">
        <v>5</v>
      </c>
      <c r="B76" s="3" t="s">
        <v>15</v>
      </c>
      <c r="C76" s="1">
        <v>37917</v>
      </c>
      <c r="D76" s="3">
        <v>10322</v>
      </c>
      <c r="E76" s="9">
        <v>112</v>
      </c>
    </row>
    <row r="77" spans="1:5" x14ac:dyDescent="0.25">
      <c r="A77" s="3" t="s">
        <v>8</v>
      </c>
      <c r="B77" s="3" t="s">
        <v>9</v>
      </c>
      <c r="C77" s="1">
        <v>37908</v>
      </c>
      <c r="D77" s="3">
        <v>10323</v>
      </c>
      <c r="E77" s="9">
        <v>164.4</v>
      </c>
    </row>
    <row r="78" spans="1:5" x14ac:dyDescent="0.25">
      <c r="A78" s="3" t="s">
        <v>5</v>
      </c>
      <c r="B78" s="3" t="s">
        <v>11</v>
      </c>
      <c r="C78" s="1">
        <v>37904</v>
      </c>
      <c r="D78" s="3">
        <v>10324</v>
      </c>
      <c r="E78" s="9">
        <v>5275.71</v>
      </c>
    </row>
    <row r="79" spans="1:5" x14ac:dyDescent="0.25">
      <c r="A79" s="3" t="s">
        <v>8</v>
      </c>
      <c r="B79" s="3" t="s">
        <v>12</v>
      </c>
      <c r="C79" s="1">
        <v>37908</v>
      </c>
      <c r="D79" s="3">
        <v>10325</v>
      </c>
      <c r="E79" s="9">
        <v>1497</v>
      </c>
    </row>
    <row r="80" spans="1:5" x14ac:dyDescent="0.25">
      <c r="A80" s="3" t="s">
        <v>8</v>
      </c>
      <c r="B80" s="3" t="s">
        <v>9</v>
      </c>
      <c r="C80" s="1">
        <v>37908</v>
      </c>
      <c r="D80" s="3">
        <v>10326</v>
      </c>
      <c r="E80" s="9">
        <v>982</v>
      </c>
    </row>
    <row r="81" spans="1:5" x14ac:dyDescent="0.25">
      <c r="A81" s="3" t="s">
        <v>8</v>
      </c>
      <c r="B81" s="3" t="s">
        <v>14</v>
      </c>
      <c r="C81" s="1">
        <v>37908</v>
      </c>
      <c r="D81" s="3">
        <v>10327</v>
      </c>
      <c r="E81" s="9">
        <v>1810</v>
      </c>
    </row>
    <row r="82" spans="1:5" x14ac:dyDescent="0.25">
      <c r="A82" s="3" t="s">
        <v>8</v>
      </c>
      <c r="B82" s="3" t="s">
        <v>9</v>
      </c>
      <c r="C82" s="1">
        <v>37911</v>
      </c>
      <c r="D82" s="3">
        <v>10328</v>
      </c>
      <c r="E82" s="9">
        <v>1168</v>
      </c>
    </row>
    <row r="83" spans="1:5" x14ac:dyDescent="0.25">
      <c r="A83" s="3" t="s">
        <v>8</v>
      </c>
      <c r="B83" s="3" t="s">
        <v>9</v>
      </c>
      <c r="C83" s="1">
        <v>37917</v>
      </c>
      <c r="D83" s="3">
        <v>10329</v>
      </c>
      <c r="E83" s="9">
        <v>4578.43</v>
      </c>
    </row>
    <row r="84" spans="1:5" x14ac:dyDescent="0.25">
      <c r="A84" s="3" t="s">
        <v>8</v>
      </c>
      <c r="B84" s="3" t="s">
        <v>10</v>
      </c>
      <c r="C84" s="1">
        <v>37922</v>
      </c>
      <c r="D84" s="3">
        <v>10330</v>
      </c>
      <c r="E84" s="9">
        <v>1649</v>
      </c>
    </row>
    <row r="85" spans="1:5" x14ac:dyDescent="0.25">
      <c r="A85" s="3" t="s">
        <v>5</v>
      </c>
      <c r="B85" s="3" t="s">
        <v>11</v>
      </c>
      <c r="C85" s="1">
        <v>37915</v>
      </c>
      <c r="D85" s="3">
        <v>10331</v>
      </c>
      <c r="E85" s="9">
        <v>88.5</v>
      </c>
    </row>
    <row r="86" spans="1:5" x14ac:dyDescent="0.25">
      <c r="A86" s="3" t="s">
        <v>8</v>
      </c>
      <c r="B86" s="3" t="s">
        <v>10</v>
      </c>
      <c r="C86" s="1">
        <v>37915</v>
      </c>
      <c r="D86" s="3">
        <v>10332</v>
      </c>
      <c r="E86" s="9">
        <v>1786.88</v>
      </c>
    </row>
    <row r="87" spans="1:5" x14ac:dyDescent="0.25">
      <c r="A87" s="3" t="s">
        <v>5</v>
      </c>
      <c r="B87" s="3" t="s">
        <v>6</v>
      </c>
      <c r="C87" s="1">
        <v>37919</v>
      </c>
      <c r="D87" s="3">
        <v>10333</v>
      </c>
      <c r="E87" s="9">
        <v>877.2</v>
      </c>
    </row>
    <row r="88" spans="1:5" x14ac:dyDescent="0.25">
      <c r="A88" s="3" t="s">
        <v>8</v>
      </c>
      <c r="B88" s="3" t="s">
        <v>13</v>
      </c>
      <c r="C88" s="1">
        <v>37922</v>
      </c>
      <c r="D88" s="3">
        <v>10334</v>
      </c>
      <c r="E88" s="9">
        <v>144.80000000000001</v>
      </c>
    </row>
    <row r="89" spans="1:5" x14ac:dyDescent="0.25">
      <c r="A89" s="3" t="s">
        <v>5</v>
      </c>
      <c r="B89" s="3" t="s">
        <v>15</v>
      </c>
      <c r="C89" s="1">
        <v>37918</v>
      </c>
      <c r="D89" s="3">
        <v>10335</v>
      </c>
      <c r="E89" s="9">
        <v>2036.16</v>
      </c>
    </row>
    <row r="90" spans="1:5" x14ac:dyDescent="0.25">
      <c r="A90" s="3" t="s">
        <v>5</v>
      </c>
      <c r="B90" s="3" t="s">
        <v>15</v>
      </c>
      <c r="C90" s="1">
        <v>37919</v>
      </c>
      <c r="D90" s="3">
        <v>10336</v>
      </c>
      <c r="E90" s="9">
        <v>285.12</v>
      </c>
    </row>
    <row r="91" spans="1:5" x14ac:dyDescent="0.25">
      <c r="A91" s="3" t="s">
        <v>8</v>
      </c>
      <c r="B91" s="3" t="s">
        <v>9</v>
      </c>
      <c r="C91" s="1">
        <v>37923</v>
      </c>
      <c r="D91" s="3">
        <v>10337</v>
      </c>
      <c r="E91" s="9">
        <v>2467</v>
      </c>
    </row>
    <row r="92" spans="1:5" x14ac:dyDescent="0.25">
      <c r="A92" s="3" t="s">
        <v>8</v>
      </c>
      <c r="B92" s="3" t="s">
        <v>9</v>
      </c>
      <c r="C92" s="1">
        <v>37923</v>
      </c>
      <c r="D92" s="3">
        <v>10338</v>
      </c>
      <c r="E92" s="9">
        <v>934.5</v>
      </c>
    </row>
    <row r="93" spans="1:5" x14ac:dyDescent="0.25">
      <c r="A93" s="3" t="s">
        <v>8</v>
      </c>
      <c r="B93" s="3" t="s">
        <v>14</v>
      </c>
      <c r="C93" s="1">
        <v>37929</v>
      </c>
      <c r="D93" s="3">
        <v>10339</v>
      </c>
      <c r="E93" s="9">
        <v>3354</v>
      </c>
    </row>
    <row r="94" spans="1:5" x14ac:dyDescent="0.25">
      <c r="A94" s="3" t="s">
        <v>8</v>
      </c>
      <c r="B94" s="3" t="s">
        <v>12</v>
      </c>
      <c r="C94" s="1">
        <v>37933</v>
      </c>
      <c r="D94" s="3">
        <v>10340</v>
      </c>
      <c r="E94" s="9">
        <v>2436.1799999999998</v>
      </c>
    </row>
    <row r="95" spans="1:5" x14ac:dyDescent="0.25">
      <c r="A95" s="3" t="s">
        <v>5</v>
      </c>
      <c r="B95" s="3" t="s">
        <v>15</v>
      </c>
      <c r="C95" s="1">
        <v>37930</v>
      </c>
      <c r="D95" s="3">
        <v>10341</v>
      </c>
      <c r="E95" s="9">
        <v>352.6</v>
      </c>
    </row>
    <row r="96" spans="1:5" x14ac:dyDescent="0.25">
      <c r="A96" s="3" t="s">
        <v>8</v>
      </c>
      <c r="B96" s="3" t="s">
        <v>9</v>
      </c>
      <c r="C96" s="1">
        <v>37929</v>
      </c>
      <c r="D96" s="3">
        <v>10342</v>
      </c>
      <c r="E96" s="9">
        <v>1840.64</v>
      </c>
    </row>
    <row r="97" spans="1:5" x14ac:dyDescent="0.25">
      <c r="A97" s="3" t="s">
        <v>8</v>
      </c>
      <c r="B97" s="3" t="s">
        <v>9</v>
      </c>
      <c r="C97" s="1">
        <v>37931</v>
      </c>
      <c r="D97" s="3">
        <v>10343</v>
      </c>
      <c r="E97" s="9">
        <v>1584</v>
      </c>
    </row>
    <row r="98" spans="1:5" x14ac:dyDescent="0.25">
      <c r="A98" s="3" t="s">
        <v>8</v>
      </c>
      <c r="B98" s="3" t="s">
        <v>9</v>
      </c>
      <c r="C98" s="1">
        <v>37930</v>
      </c>
      <c r="D98" s="3">
        <v>10344</v>
      </c>
      <c r="E98" s="9">
        <v>2296</v>
      </c>
    </row>
    <row r="99" spans="1:5" x14ac:dyDescent="0.25">
      <c r="A99" s="3" t="s">
        <v>8</v>
      </c>
      <c r="B99" s="3" t="s">
        <v>14</v>
      </c>
      <c r="C99" s="1">
        <v>37936</v>
      </c>
      <c r="D99" s="3">
        <v>10345</v>
      </c>
      <c r="E99" s="9">
        <v>2924.8</v>
      </c>
    </row>
    <row r="100" spans="1:5" x14ac:dyDescent="0.25">
      <c r="A100" s="3" t="s">
        <v>8</v>
      </c>
      <c r="B100" s="3" t="s">
        <v>10</v>
      </c>
      <c r="C100" s="1">
        <v>37933</v>
      </c>
      <c r="D100" s="3">
        <v>10346</v>
      </c>
      <c r="E100" s="9">
        <v>1618.88</v>
      </c>
    </row>
    <row r="101" spans="1:5" x14ac:dyDescent="0.25">
      <c r="A101" s="3" t="s">
        <v>8</v>
      </c>
      <c r="B101" s="3" t="s">
        <v>9</v>
      </c>
      <c r="C101" s="1">
        <v>37933</v>
      </c>
      <c r="D101" s="3">
        <v>10347</v>
      </c>
      <c r="E101" s="9">
        <v>814.42</v>
      </c>
    </row>
    <row r="102" spans="1:5" x14ac:dyDescent="0.25">
      <c r="A102" s="3" t="s">
        <v>8</v>
      </c>
      <c r="B102" s="3" t="s">
        <v>9</v>
      </c>
      <c r="C102" s="1">
        <v>37940</v>
      </c>
      <c r="D102" s="3">
        <v>10348</v>
      </c>
      <c r="E102" s="9">
        <v>363.6</v>
      </c>
    </row>
    <row r="103" spans="1:5" x14ac:dyDescent="0.25">
      <c r="A103" s="3" t="s">
        <v>5</v>
      </c>
      <c r="B103" s="3" t="s">
        <v>15</v>
      </c>
      <c r="C103" s="1">
        <v>37940</v>
      </c>
      <c r="D103" s="3">
        <v>10349</v>
      </c>
      <c r="E103" s="9">
        <v>141.6</v>
      </c>
    </row>
    <row r="104" spans="1:5" x14ac:dyDescent="0.25">
      <c r="A104" s="3" t="s">
        <v>5</v>
      </c>
      <c r="B104" s="3" t="s">
        <v>7</v>
      </c>
      <c r="C104" s="1">
        <v>37958</v>
      </c>
      <c r="D104" s="3">
        <v>10350</v>
      </c>
      <c r="E104" s="9">
        <v>642.05999999999995</v>
      </c>
    </row>
    <row r="105" spans="1:5" x14ac:dyDescent="0.25">
      <c r="A105" s="3" t="s">
        <v>8</v>
      </c>
      <c r="B105" s="3" t="s">
        <v>12</v>
      </c>
      <c r="C105" s="1">
        <v>37945</v>
      </c>
      <c r="D105" s="3">
        <v>10351</v>
      </c>
      <c r="E105" s="9">
        <v>5398.72</v>
      </c>
    </row>
    <row r="106" spans="1:5" x14ac:dyDescent="0.25">
      <c r="A106" s="3" t="s">
        <v>8</v>
      </c>
      <c r="B106" s="3" t="s">
        <v>10</v>
      </c>
      <c r="C106" s="1">
        <v>37943</v>
      </c>
      <c r="D106" s="3">
        <v>10352</v>
      </c>
      <c r="E106" s="9">
        <v>136.30000000000001</v>
      </c>
    </row>
    <row r="107" spans="1:5" x14ac:dyDescent="0.25">
      <c r="A107" s="3" t="s">
        <v>5</v>
      </c>
      <c r="B107" s="3" t="s">
        <v>15</v>
      </c>
      <c r="C107" s="1">
        <v>37950</v>
      </c>
      <c r="D107" s="3">
        <v>10353</v>
      </c>
      <c r="E107" s="9">
        <v>8593.2800000000007</v>
      </c>
    </row>
    <row r="108" spans="1:5" x14ac:dyDescent="0.25">
      <c r="A108" s="3" t="s">
        <v>8</v>
      </c>
      <c r="B108" s="3" t="s">
        <v>13</v>
      </c>
      <c r="C108" s="1">
        <v>37945</v>
      </c>
      <c r="D108" s="3">
        <v>10354</v>
      </c>
      <c r="E108" s="9">
        <v>568.79999999999995</v>
      </c>
    </row>
    <row r="109" spans="1:5" x14ac:dyDescent="0.25">
      <c r="A109" s="3" t="s">
        <v>5</v>
      </c>
      <c r="B109" s="3" t="s">
        <v>7</v>
      </c>
      <c r="C109" s="1">
        <v>37945</v>
      </c>
      <c r="D109" s="3">
        <v>10355</v>
      </c>
      <c r="E109" s="9">
        <v>480</v>
      </c>
    </row>
    <row r="110" spans="1:5" x14ac:dyDescent="0.25">
      <c r="A110" s="3" t="s">
        <v>5</v>
      </c>
      <c r="B110" s="3" t="s">
        <v>7</v>
      </c>
      <c r="C110" s="1">
        <v>37952</v>
      </c>
      <c r="D110" s="3">
        <v>10356</v>
      </c>
      <c r="E110" s="9">
        <v>1106.4000000000001</v>
      </c>
    </row>
    <row r="111" spans="1:5" x14ac:dyDescent="0.25">
      <c r="A111" s="3" t="s">
        <v>8</v>
      </c>
      <c r="B111" s="3" t="s">
        <v>12</v>
      </c>
      <c r="C111" s="1">
        <v>37957</v>
      </c>
      <c r="D111" s="3">
        <v>10357</v>
      </c>
      <c r="E111" s="9">
        <v>1167.68</v>
      </c>
    </row>
    <row r="112" spans="1:5" x14ac:dyDescent="0.25">
      <c r="A112" s="3" t="s">
        <v>5</v>
      </c>
      <c r="B112" s="3" t="s">
        <v>6</v>
      </c>
      <c r="C112" s="1">
        <v>37952</v>
      </c>
      <c r="D112" s="3">
        <v>10358</v>
      </c>
      <c r="E112" s="9">
        <v>429.4</v>
      </c>
    </row>
    <row r="113" spans="1:5" x14ac:dyDescent="0.25">
      <c r="A113" s="3" t="s">
        <v>5</v>
      </c>
      <c r="B113" s="3" t="s">
        <v>6</v>
      </c>
      <c r="C113" s="1">
        <v>37951</v>
      </c>
      <c r="D113" s="3">
        <v>10359</v>
      </c>
      <c r="E113" s="9">
        <v>3471.68</v>
      </c>
    </row>
    <row r="114" spans="1:5" x14ac:dyDescent="0.25">
      <c r="A114" s="3" t="s">
        <v>8</v>
      </c>
      <c r="B114" s="3" t="s">
        <v>9</v>
      </c>
      <c r="C114" s="1">
        <v>37957</v>
      </c>
      <c r="D114" s="3">
        <v>10360</v>
      </c>
      <c r="E114" s="9">
        <v>7390.2</v>
      </c>
    </row>
    <row r="115" spans="1:5" x14ac:dyDescent="0.25">
      <c r="A115" s="3" t="s">
        <v>8</v>
      </c>
      <c r="B115" s="3" t="s">
        <v>12</v>
      </c>
      <c r="C115" s="1">
        <v>37958</v>
      </c>
      <c r="D115" s="3">
        <v>10361</v>
      </c>
      <c r="E115" s="9">
        <v>2046.24</v>
      </c>
    </row>
    <row r="116" spans="1:5" x14ac:dyDescent="0.25">
      <c r="A116" s="3" t="s">
        <v>8</v>
      </c>
      <c r="B116" s="3" t="s">
        <v>10</v>
      </c>
      <c r="C116" s="1">
        <v>37953</v>
      </c>
      <c r="D116" s="3">
        <v>10362</v>
      </c>
      <c r="E116" s="9">
        <v>1549.6</v>
      </c>
    </row>
    <row r="117" spans="1:5" x14ac:dyDescent="0.25">
      <c r="A117" s="3" t="s">
        <v>8</v>
      </c>
      <c r="B117" s="3" t="s">
        <v>9</v>
      </c>
      <c r="C117" s="1">
        <v>37959</v>
      </c>
      <c r="D117" s="3">
        <v>10363</v>
      </c>
      <c r="E117" s="9">
        <v>447.2</v>
      </c>
    </row>
    <row r="118" spans="1:5" x14ac:dyDescent="0.25">
      <c r="A118" s="3" t="s">
        <v>8</v>
      </c>
      <c r="B118" s="3" t="s">
        <v>12</v>
      </c>
      <c r="C118" s="1">
        <v>37959</v>
      </c>
      <c r="D118" s="3">
        <v>10364</v>
      </c>
      <c r="E118" s="9">
        <v>950</v>
      </c>
    </row>
    <row r="119" spans="1:5" x14ac:dyDescent="0.25">
      <c r="A119" s="3" t="s">
        <v>8</v>
      </c>
      <c r="B119" s="3" t="s">
        <v>10</v>
      </c>
      <c r="C119" s="1">
        <v>37957</v>
      </c>
      <c r="D119" s="3">
        <v>10365</v>
      </c>
      <c r="E119" s="9">
        <v>403.2</v>
      </c>
    </row>
    <row r="120" spans="1:5" x14ac:dyDescent="0.25">
      <c r="A120" s="3" t="s">
        <v>8</v>
      </c>
      <c r="B120" s="3" t="s">
        <v>13</v>
      </c>
      <c r="C120" s="1">
        <v>37985</v>
      </c>
      <c r="D120" s="3">
        <v>10366</v>
      </c>
      <c r="E120" s="9">
        <v>136</v>
      </c>
    </row>
    <row r="121" spans="1:5" x14ac:dyDescent="0.25">
      <c r="A121" s="3" t="s">
        <v>5</v>
      </c>
      <c r="B121" s="3" t="s">
        <v>15</v>
      </c>
      <c r="C121" s="1">
        <v>37957</v>
      </c>
      <c r="D121" s="3">
        <v>10367</v>
      </c>
      <c r="E121" s="9">
        <v>834.2</v>
      </c>
    </row>
    <row r="122" spans="1:5" x14ac:dyDescent="0.25">
      <c r="A122" s="3" t="s">
        <v>8</v>
      </c>
      <c r="B122" s="3" t="s">
        <v>14</v>
      </c>
      <c r="C122" s="1">
        <v>37957</v>
      </c>
      <c r="D122" s="3">
        <v>10368</v>
      </c>
      <c r="E122" s="9">
        <v>1689.78</v>
      </c>
    </row>
    <row r="123" spans="1:5" x14ac:dyDescent="0.25">
      <c r="A123" s="3" t="s">
        <v>8</v>
      </c>
      <c r="B123" s="3" t="s">
        <v>13</v>
      </c>
      <c r="C123" s="1">
        <v>37964</v>
      </c>
      <c r="D123" s="3">
        <v>10369</v>
      </c>
      <c r="E123" s="9">
        <v>2390.4</v>
      </c>
    </row>
    <row r="124" spans="1:5" x14ac:dyDescent="0.25">
      <c r="A124" s="3" t="s">
        <v>5</v>
      </c>
      <c r="B124" s="3" t="s">
        <v>7</v>
      </c>
      <c r="C124" s="1">
        <v>37982</v>
      </c>
      <c r="D124" s="3">
        <v>10370</v>
      </c>
      <c r="E124" s="9">
        <v>1117.5999999999999</v>
      </c>
    </row>
    <row r="125" spans="1:5" x14ac:dyDescent="0.25">
      <c r="A125" s="3" t="s">
        <v>8</v>
      </c>
      <c r="B125" s="3" t="s">
        <v>12</v>
      </c>
      <c r="C125" s="1">
        <v>37979</v>
      </c>
      <c r="D125" s="3">
        <v>10371</v>
      </c>
      <c r="E125" s="9">
        <v>72.959999999999994</v>
      </c>
    </row>
    <row r="126" spans="1:5" x14ac:dyDescent="0.25">
      <c r="A126" s="3" t="s">
        <v>5</v>
      </c>
      <c r="B126" s="3" t="s">
        <v>6</v>
      </c>
      <c r="C126" s="1">
        <v>37964</v>
      </c>
      <c r="D126" s="3">
        <v>10372</v>
      </c>
      <c r="E126" s="9">
        <v>9210.9</v>
      </c>
    </row>
    <row r="127" spans="1:5" x14ac:dyDescent="0.25">
      <c r="A127" s="3" t="s">
        <v>8</v>
      </c>
      <c r="B127" s="3" t="s">
        <v>9</v>
      </c>
      <c r="C127" s="1">
        <v>37966</v>
      </c>
      <c r="D127" s="3">
        <v>10373</v>
      </c>
      <c r="E127" s="9">
        <v>1366.4</v>
      </c>
    </row>
    <row r="128" spans="1:5" x14ac:dyDescent="0.25">
      <c r="A128" s="3" t="s">
        <v>8</v>
      </c>
      <c r="B128" s="3" t="s">
        <v>12</v>
      </c>
      <c r="C128" s="1">
        <v>37964</v>
      </c>
      <c r="D128" s="3">
        <v>10374</v>
      </c>
      <c r="E128" s="9">
        <v>459</v>
      </c>
    </row>
    <row r="129" spans="1:5" x14ac:dyDescent="0.25">
      <c r="A129" s="3" t="s">
        <v>8</v>
      </c>
      <c r="B129" s="3" t="s">
        <v>10</v>
      </c>
      <c r="C129" s="1">
        <v>37964</v>
      </c>
      <c r="D129" s="3">
        <v>10375</v>
      </c>
      <c r="E129" s="9">
        <v>338</v>
      </c>
    </row>
    <row r="130" spans="1:5" x14ac:dyDescent="0.25">
      <c r="A130" s="3" t="s">
        <v>8</v>
      </c>
      <c r="B130" s="3" t="s">
        <v>12</v>
      </c>
      <c r="C130" s="1">
        <v>37968</v>
      </c>
      <c r="D130" s="3">
        <v>10376</v>
      </c>
      <c r="E130" s="9">
        <v>399</v>
      </c>
    </row>
    <row r="131" spans="1:5" x14ac:dyDescent="0.25">
      <c r="A131" s="3" t="s">
        <v>8</v>
      </c>
      <c r="B131" s="3" t="s">
        <v>12</v>
      </c>
      <c r="C131" s="1">
        <v>37968</v>
      </c>
      <c r="D131" s="3">
        <v>10377</v>
      </c>
      <c r="E131" s="9">
        <v>863.6</v>
      </c>
    </row>
    <row r="132" spans="1:5" x14ac:dyDescent="0.25">
      <c r="A132" s="3" t="s">
        <v>5</v>
      </c>
      <c r="B132" s="3" t="s">
        <v>6</v>
      </c>
      <c r="C132" s="1">
        <v>37974</v>
      </c>
      <c r="D132" s="3">
        <v>10378</v>
      </c>
      <c r="E132" s="9">
        <v>103.2</v>
      </c>
    </row>
    <row r="133" spans="1:5" x14ac:dyDescent="0.25">
      <c r="A133" s="3" t="s">
        <v>8</v>
      </c>
      <c r="B133" s="3" t="s">
        <v>14</v>
      </c>
      <c r="C133" s="1">
        <v>37968</v>
      </c>
      <c r="D133" s="3">
        <v>10379</v>
      </c>
      <c r="E133" s="9">
        <v>863.28</v>
      </c>
    </row>
    <row r="134" spans="1:5" x14ac:dyDescent="0.25">
      <c r="A134" s="3" t="s">
        <v>8</v>
      </c>
      <c r="B134" s="3" t="s">
        <v>13</v>
      </c>
      <c r="C134" s="1">
        <v>38002</v>
      </c>
      <c r="D134" s="3">
        <v>10380</v>
      </c>
      <c r="E134" s="9">
        <v>1313.82</v>
      </c>
    </row>
    <row r="135" spans="1:5" x14ac:dyDescent="0.25">
      <c r="A135" s="3" t="s">
        <v>8</v>
      </c>
      <c r="B135" s="3" t="s">
        <v>10</v>
      </c>
      <c r="C135" s="1">
        <v>37968</v>
      </c>
      <c r="D135" s="3">
        <v>10381</v>
      </c>
      <c r="E135" s="9">
        <v>112</v>
      </c>
    </row>
    <row r="136" spans="1:5" x14ac:dyDescent="0.25">
      <c r="A136" s="3" t="s">
        <v>8</v>
      </c>
      <c r="B136" s="3" t="s">
        <v>9</v>
      </c>
      <c r="C136" s="1">
        <v>37971</v>
      </c>
      <c r="D136" s="3">
        <v>10382</v>
      </c>
      <c r="E136" s="9">
        <v>2900</v>
      </c>
    </row>
    <row r="137" spans="1:5" x14ac:dyDescent="0.25">
      <c r="A137" s="3" t="s">
        <v>8</v>
      </c>
      <c r="B137" s="3" t="s">
        <v>13</v>
      </c>
      <c r="C137" s="1">
        <v>37973</v>
      </c>
      <c r="D137" s="3">
        <v>10383</v>
      </c>
      <c r="E137" s="9">
        <v>899</v>
      </c>
    </row>
    <row r="138" spans="1:5" x14ac:dyDescent="0.25">
      <c r="A138" s="3" t="s">
        <v>8</v>
      </c>
      <c r="B138" s="3" t="s">
        <v>10</v>
      </c>
      <c r="C138" s="1">
        <v>37975</v>
      </c>
      <c r="D138" s="3">
        <v>10384</v>
      </c>
      <c r="E138" s="9">
        <v>2222.4</v>
      </c>
    </row>
    <row r="139" spans="1:5" x14ac:dyDescent="0.25">
      <c r="A139" s="3" t="s">
        <v>8</v>
      </c>
      <c r="B139" s="3" t="s">
        <v>12</v>
      </c>
      <c r="C139" s="1">
        <v>37978</v>
      </c>
      <c r="D139" s="3">
        <v>10385</v>
      </c>
      <c r="E139" s="9">
        <v>691.2</v>
      </c>
    </row>
    <row r="140" spans="1:5" x14ac:dyDescent="0.25">
      <c r="A140" s="3" t="s">
        <v>5</v>
      </c>
      <c r="B140" s="3" t="s">
        <v>11</v>
      </c>
      <c r="C140" s="1">
        <v>37980</v>
      </c>
      <c r="D140" s="3">
        <v>10386</v>
      </c>
      <c r="E140" s="9">
        <v>166</v>
      </c>
    </row>
    <row r="141" spans="1:5" x14ac:dyDescent="0.25">
      <c r="A141" s="3" t="s">
        <v>8</v>
      </c>
      <c r="B141" s="3" t="s">
        <v>12</v>
      </c>
      <c r="C141" s="1">
        <v>37975</v>
      </c>
      <c r="D141" s="3">
        <v>10387</v>
      </c>
      <c r="E141" s="9">
        <v>1058.4000000000001</v>
      </c>
    </row>
    <row r="142" spans="1:5" x14ac:dyDescent="0.25">
      <c r="A142" s="3" t="s">
        <v>8</v>
      </c>
      <c r="B142" s="3" t="s">
        <v>14</v>
      </c>
      <c r="C142" s="1">
        <v>37975</v>
      </c>
      <c r="D142" s="3">
        <v>10388</v>
      </c>
      <c r="E142" s="9">
        <v>1228.8</v>
      </c>
    </row>
    <row r="143" spans="1:5" x14ac:dyDescent="0.25">
      <c r="A143" s="3" t="s">
        <v>8</v>
      </c>
      <c r="B143" s="3" t="s">
        <v>9</v>
      </c>
      <c r="C143" s="1">
        <v>37979</v>
      </c>
      <c r="D143" s="3">
        <v>10389</v>
      </c>
      <c r="E143" s="9">
        <v>1832.8</v>
      </c>
    </row>
    <row r="144" spans="1:5" x14ac:dyDescent="0.25">
      <c r="A144" s="3" t="s">
        <v>5</v>
      </c>
      <c r="B144" s="3" t="s">
        <v>7</v>
      </c>
      <c r="C144" s="1">
        <v>37981</v>
      </c>
      <c r="D144" s="3">
        <v>10390</v>
      </c>
      <c r="E144" s="9">
        <v>2090.88</v>
      </c>
    </row>
    <row r="145" spans="1:5" x14ac:dyDescent="0.25">
      <c r="A145" s="3" t="s">
        <v>8</v>
      </c>
      <c r="B145" s="3" t="s">
        <v>10</v>
      </c>
      <c r="C145" s="1">
        <v>37986</v>
      </c>
      <c r="D145" s="3">
        <v>10391</v>
      </c>
      <c r="E145" s="9">
        <v>86.4</v>
      </c>
    </row>
    <row r="146" spans="1:5" x14ac:dyDescent="0.25">
      <c r="A146" s="3" t="s">
        <v>8</v>
      </c>
      <c r="B146" s="3" t="s">
        <v>14</v>
      </c>
      <c r="C146" s="1">
        <v>37987</v>
      </c>
      <c r="D146" s="3">
        <v>10392</v>
      </c>
      <c r="E146" s="9">
        <v>1440</v>
      </c>
    </row>
    <row r="147" spans="1:5" x14ac:dyDescent="0.25">
      <c r="A147" s="3" t="s">
        <v>8</v>
      </c>
      <c r="B147" s="3" t="s">
        <v>12</v>
      </c>
      <c r="C147" s="1">
        <v>37989</v>
      </c>
      <c r="D147" s="3">
        <v>10393</v>
      </c>
      <c r="E147" s="9">
        <v>2556.9499999999998</v>
      </c>
    </row>
    <row r="148" spans="1:5" x14ac:dyDescent="0.25">
      <c r="A148" s="3" t="s">
        <v>8</v>
      </c>
      <c r="B148" s="3" t="s">
        <v>12</v>
      </c>
      <c r="C148" s="1">
        <v>37989</v>
      </c>
      <c r="D148" s="3">
        <v>10394</v>
      </c>
      <c r="E148" s="9">
        <v>442</v>
      </c>
    </row>
    <row r="149" spans="1:5" x14ac:dyDescent="0.25">
      <c r="A149" s="3" t="s">
        <v>5</v>
      </c>
      <c r="B149" s="3" t="s">
        <v>7</v>
      </c>
      <c r="C149" s="1">
        <v>37989</v>
      </c>
      <c r="D149" s="3">
        <v>10395</v>
      </c>
      <c r="E149" s="9">
        <v>2122.92</v>
      </c>
    </row>
    <row r="150" spans="1:5" x14ac:dyDescent="0.25">
      <c r="A150" s="3" t="s">
        <v>8</v>
      </c>
      <c r="B150" s="3" t="s">
        <v>12</v>
      </c>
      <c r="C150" s="1">
        <v>37992</v>
      </c>
      <c r="D150" s="3">
        <v>10396</v>
      </c>
      <c r="E150" s="9">
        <v>1903.8</v>
      </c>
    </row>
    <row r="151" spans="1:5" x14ac:dyDescent="0.25">
      <c r="A151" s="3" t="s">
        <v>5</v>
      </c>
      <c r="B151" s="3" t="s">
        <v>6</v>
      </c>
      <c r="C151" s="1">
        <v>37988</v>
      </c>
      <c r="D151" s="3">
        <v>10397</v>
      </c>
      <c r="E151" s="9">
        <v>716.72</v>
      </c>
    </row>
    <row r="152" spans="1:5" x14ac:dyDescent="0.25">
      <c r="A152" s="3" t="s">
        <v>8</v>
      </c>
      <c r="B152" s="3" t="s">
        <v>14</v>
      </c>
      <c r="C152" s="1">
        <v>37995</v>
      </c>
      <c r="D152" s="3">
        <v>10398</v>
      </c>
      <c r="E152" s="9">
        <v>2505.6</v>
      </c>
    </row>
    <row r="153" spans="1:5" x14ac:dyDescent="0.25">
      <c r="A153" s="3" t="s">
        <v>8</v>
      </c>
      <c r="B153" s="3" t="s">
        <v>13</v>
      </c>
      <c r="C153" s="1">
        <v>37994</v>
      </c>
      <c r="D153" s="3">
        <v>10399</v>
      </c>
      <c r="E153" s="9">
        <v>1765.6</v>
      </c>
    </row>
    <row r="154" spans="1:5" x14ac:dyDescent="0.25">
      <c r="A154" s="3" t="s">
        <v>8</v>
      </c>
      <c r="B154" s="3" t="s">
        <v>12</v>
      </c>
      <c r="C154" s="1">
        <v>38002</v>
      </c>
      <c r="D154" s="3">
        <v>10400</v>
      </c>
      <c r="E154" s="9">
        <v>3063</v>
      </c>
    </row>
    <row r="155" spans="1:5" x14ac:dyDescent="0.25">
      <c r="A155" s="3" t="s">
        <v>8</v>
      </c>
      <c r="B155" s="3" t="s">
        <v>12</v>
      </c>
      <c r="C155" s="1">
        <v>37996</v>
      </c>
      <c r="D155" s="3">
        <v>10401</v>
      </c>
      <c r="E155" s="9">
        <v>3868.6</v>
      </c>
    </row>
    <row r="156" spans="1:5" x14ac:dyDescent="0.25">
      <c r="A156" s="3" t="s">
        <v>8</v>
      </c>
      <c r="B156" s="3" t="s">
        <v>13</v>
      </c>
      <c r="C156" s="1">
        <v>37996</v>
      </c>
      <c r="D156" s="3">
        <v>10402</v>
      </c>
      <c r="E156" s="9">
        <v>2713.5</v>
      </c>
    </row>
    <row r="157" spans="1:5" x14ac:dyDescent="0.25">
      <c r="A157" s="3" t="s">
        <v>8</v>
      </c>
      <c r="B157" s="3" t="s">
        <v>9</v>
      </c>
      <c r="C157" s="1">
        <v>37995</v>
      </c>
      <c r="D157" s="3">
        <v>10403</v>
      </c>
      <c r="E157" s="9">
        <v>855.01</v>
      </c>
    </row>
    <row r="158" spans="1:5" x14ac:dyDescent="0.25">
      <c r="A158" s="3" t="s">
        <v>8</v>
      </c>
      <c r="B158" s="3" t="s">
        <v>14</v>
      </c>
      <c r="C158" s="1">
        <v>37994</v>
      </c>
      <c r="D158" s="3">
        <v>10404</v>
      </c>
      <c r="E158" s="9">
        <v>1591.25</v>
      </c>
    </row>
    <row r="159" spans="1:5" x14ac:dyDescent="0.25">
      <c r="A159" s="3" t="s">
        <v>8</v>
      </c>
      <c r="B159" s="3" t="s">
        <v>12</v>
      </c>
      <c r="C159" s="1">
        <v>38008</v>
      </c>
      <c r="D159" s="3">
        <v>10405</v>
      </c>
      <c r="E159" s="9">
        <v>400</v>
      </c>
    </row>
    <row r="160" spans="1:5" x14ac:dyDescent="0.25">
      <c r="A160" s="3" t="s">
        <v>5</v>
      </c>
      <c r="B160" s="3" t="s">
        <v>15</v>
      </c>
      <c r="C160" s="1">
        <v>37999</v>
      </c>
      <c r="D160" s="3">
        <v>10406</v>
      </c>
      <c r="E160" s="9">
        <v>1830.78</v>
      </c>
    </row>
    <row r="161" spans="1:5" x14ac:dyDescent="0.25">
      <c r="A161" s="3" t="s">
        <v>8</v>
      </c>
      <c r="B161" s="3" t="s">
        <v>14</v>
      </c>
      <c r="C161" s="1">
        <v>38016</v>
      </c>
      <c r="D161" s="3">
        <v>10407</v>
      </c>
      <c r="E161" s="9">
        <v>1194</v>
      </c>
    </row>
    <row r="162" spans="1:5" x14ac:dyDescent="0.25">
      <c r="A162" s="3" t="s">
        <v>8</v>
      </c>
      <c r="B162" s="3" t="s">
        <v>13</v>
      </c>
      <c r="C162" s="1">
        <v>38000</v>
      </c>
      <c r="D162" s="3">
        <v>10408</v>
      </c>
      <c r="E162" s="9">
        <v>1622.4</v>
      </c>
    </row>
    <row r="163" spans="1:5" x14ac:dyDescent="0.25">
      <c r="A163" s="3" t="s">
        <v>8</v>
      </c>
      <c r="B163" s="3" t="s">
        <v>10</v>
      </c>
      <c r="C163" s="1">
        <v>38000</v>
      </c>
      <c r="D163" s="3">
        <v>10409</v>
      </c>
      <c r="E163" s="9">
        <v>319.2</v>
      </c>
    </row>
    <row r="164" spans="1:5" x14ac:dyDescent="0.25">
      <c r="A164" s="3" t="s">
        <v>8</v>
      </c>
      <c r="B164" s="3" t="s">
        <v>10</v>
      </c>
      <c r="C164" s="1">
        <v>38001</v>
      </c>
      <c r="D164" s="3">
        <v>10410</v>
      </c>
      <c r="E164" s="9">
        <v>802</v>
      </c>
    </row>
    <row r="165" spans="1:5" x14ac:dyDescent="0.25">
      <c r="A165" s="3" t="s">
        <v>5</v>
      </c>
      <c r="B165" s="3" t="s">
        <v>11</v>
      </c>
      <c r="C165" s="1">
        <v>38007</v>
      </c>
      <c r="D165" s="3">
        <v>10411</v>
      </c>
      <c r="E165" s="9">
        <v>966.8</v>
      </c>
    </row>
    <row r="166" spans="1:5" x14ac:dyDescent="0.25">
      <c r="A166" s="3" t="s">
        <v>8</v>
      </c>
      <c r="B166" s="3" t="s">
        <v>13</v>
      </c>
      <c r="C166" s="1">
        <v>38001</v>
      </c>
      <c r="D166" s="3">
        <v>10412</v>
      </c>
      <c r="E166" s="9">
        <v>334.8</v>
      </c>
    </row>
    <row r="167" spans="1:5" x14ac:dyDescent="0.25">
      <c r="A167" s="3" t="s">
        <v>8</v>
      </c>
      <c r="B167" s="3" t="s">
        <v>10</v>
      </c>
      <c r="C167" s="1">
        <v>38002</v>
      </c>
      <c r="D167" s="3">
        <v>10413</v>
      </c>
      <c r="E167" s="9">
        <v>2123.1999999999998</v>
      </c>
    </row>
    <row r="168" spans="1:5" x14ac:dyDescent="0.25">
      <c r="A168" s="3" t="s">
        <v>8</v>
      </c>
      <c r="B168" s="3" t="s">
        <v>14</v>
      </c>
      <c r="C168" s="1">
        <v>38003</v>
      </c>
      <c r="D168" s="3">
        <v>10414</v>
      </c>
      <c r="E168" s="9">
        <v>224.83</v>
      </c>
    </row>
    <row r="169" spans="1:5" x14ac:dyDescent="0.25">
      <c r="A169" s="3" t="s">
        <v>8</v>
      </c>
      <c r="B169" s="3" t="s">
        <v>10</v>
      </c>
      <c r="C169" s="1">
        <v>38010</v>
      </c>
      <c r="D169" s="3">
        <v>10415</v>
      </c>
      <c r="E169" s="9">
        <v>102.4</v>
      </c>
    </row>
    <row r="170" spans="1:5" x14ac:dyDescent="0.25">
      <c r="A170" s="3" t="s">
        <v>8</v>
      </c>
      <c r="B170" s="3" t="s">
        <v>13</v>
      </c>
      <c r="C170" s="1">
        <v>38013</v>
      </c>
      <c r="D170" s="3">
        <v>10416</v>
      </c>
      <c r="E170" s="9">
        <v>720</v>
      </c>
    </row>
    <row r="171" spans="1:5" x14ac:dyDescent="0.25">
      <c r="A171" s="3" t="s">
        <v>8</v>
      </c>
      <c r="B171" s="3" t="s">
        <v>9</v>
      </c>
      <c r="C171" s="1">
        <v>38014</v>
      </c>
      <c r="D171" s="3">
        <v>10417</v>
      </c>
      <c r="E171" s="9">
        <v>11188.4</v>
      </c>
    </row>
    <row r="172" spans="1:5" x14ac:dyDescent="0.25">
      <c r="A172" s="3" t="s">
        <v>8</v>
      </c>
      <c r="B172" s="3" t="s">
        <v>9</v>
      </c>
      <c r="C172" s="1">
        <v>38010</v>
      </c>
      <c r="D172" s="3">
        <v>10418</v>
      </c>
      <c r="E172" s="9">
        <v>1814.8</v>
      </c>
    </row>
    <row r="173" spans="1:5" x14ac:dyDescent="0.25">
      <c r="A173" s="3" t="s">
        <v>8</v>
      </c>
      <c r="B173" s="3" t="s">
        <v>9</v>
      </c>
      <c r="C173" s="1">
        <v>38016</v>
      </c>
      <c r="D173" s="3">
        <v>10419</v>
      </c>
      <c r="E173" s="9">
        <v>2097.6</v>
      </c>
    </row>
    <row r="174" spans="1:5" x14ac:dyDescent="0.25">
      <c r="A174" s="3" t="s">
        <v>8</v>
      </c>
      <c r="B174" s="3" t="s">
        <v>10</v>
      </c>
      <c r="C174" s="1">
        <v>38013</v>
      </c>
      <c r="D174" s="3">
        <v>10420</v>
      </c>
      <c r="E174" s="9">
        <v>1707.84</v>
      </c>
    </row>
    <row r="175" spans="1:5" x14ac:dyDescent="0.25">
      <c r="A175" s="3" t="s">
        <v>8</v>
      </c>
      <c r="B175" s="3" t="s">
        <v>13</v>
      </c>
      <c r="C175" s="1">
        <v>38013</v>
      </c>
      <c r="D175" s="3">
        <v>10421</v>
      </c>
      <c r="E175" s="9">
        <v>1194.27</v>
      </c>
    </row>
    <row r="176" spans="1:5" x14ac:dyDescent="0.25">
      <c r="A176" s="3" t="s">
        <v>8</v>
      </c>
      <c r="B176" s="3" t="s">
        <v>14</v>
      </c>
      <c r="C176" s="1">
        <v>38017</v>
      </c>
      <c r="D176" s="3">
        <v>10422</v>
      </c>
      <c r="E176" s="9">
        <v>49.8</v>
      </c>
    </row>
    <row r="177" spans="1:5" x14ac:dyDescent="0.25">
      <c r="A177" s="3" t="s">
        <v>5</v>
      </c>
      <c r="B177" s="3" t="s">
        <v>7</v>
      </c>
      <c r="C177" s="1">
        <v>38041</v>
      </c>
      <c r="D177" s="3">
        <v>10423</v>
      </c>
      <c r="E177" s="9">
        <v>1020</v>
      </c>
    </row>
    <row r="178" spans="1:5" x14ac:dyDescent="0.25">
      <c r="A178" s="3" t="s">
        <v>5</v>
      </c>
      <c r="B178" s="3" t="s">
        <v>15</v>
      </c>
      <c r="C178" s="1">
        <v>38013</v>
      </c>
      <c r="D178" s="3">
        <v>10424</v>
      </c>
      <c r="E178" s="9">
        <v>9194.56</v>
      </c>
    </row>
    <row r="179" spans="1:5" x14ac:dyDescent="0.25">
      <c r="A179" s="3" t="s">
        <v>5</v>
      </c>
      <c r="B179" s="3" t="s">
        <v>7</v>
      </c>
      <c r="C179" s="1">
        <v>38031</v>
      </c>
      <c r="D179" s="3">
        <v>10425</v>
      </c>
      <c r="E179" s="9">
        <v>360</v>
      </c>
    </row>
    <row r="180" spans="1:5" x14ac:dyDescent="0.25">
      <c r="A180" s="3" t="s">
        <v>8</v>
      </c>
      <c r="B180" s="3" t="s">
        <v>9</v>
      </c>
      <c r="C180" s="1">
        <v>38023</v>
      </c>
      <c r="D180" s="3">
        <v>10426</v>
      </c>
      <c r="E180" s="9">
        <v>338.2</v>
      </c>
    </row>
    <row r="181" spans="1:5" x14ac:dyDescent="0.25">
      <c r="A181" s="3" t="s">
        <v>8</v>
      </c>
      <c r="B181" s="3" t="s">
        <v>9</v>
      </c>
      <c r="C181" s="1">
        <v>38049</v>
      </c>
      <c r="D181" s="3">
        <v>10427</v>
      </c>
      <c r="E181" s="9">
        <v>651</v>
      </c>
    </row>
    <row r="182" spans="1:5" x14ac:dyDescent="0.25">
      <c r="A182" s="3" t="s">
        <v>5</v>
      </c>
      <c r="B182" s="3" t="s">
        <v>15</v>
      </c>
      <c r="C182" s="1">
        <v>38021</v>
      </c>
      <c r="D182" s="3">
        <v>10428</v>
      </c>
      <c r="E182" s="9">
        <v>192</v>
      </c>
    </row>
    <row r="183" spans="1:5" x14ac:dyDescent="0.25">
      <c r="A183" s="3" t="s">
        <v>8</v>
      </c>
      <c r="B183" s="3" t="s">
        <v>10</v>
      </c>
      <c r="C183" s="1">
        <v>38024</v>
      </c>
      <c r="D183" s="3">
        <v>10429</v>
      </c>
      <c r="E183" s="9">
        <v>1441.37</v>
      </c>
    </row>
    <row r="184" spans="1:5" x14ac:dyDescent="0.25">
      <c r="A184" s="3" t="s">
        <v>8</v>
      </c>
      <c r="B184" s="3" t="s">
        <v>9</v>
      </c>
      <c r="C184" s="1">
        <v>38020</v>
      </c>
      <c r="D184" s="3">
        <v>10430</v>
      </c>
      <c r="E184" s="9">
        <v>4899.2</v>
      </c>
    </row>
    <row r="185" spans="1:5" x14ac:dyDescent="0.25">
      <c r="A185" s="3" t="s">
        <v>8</v>
      </c>
      <c r="B185" s="3" t="s">
        <v>9</v>
      </c>
      <c r="C185" s="1">
        <v>38024</v>
      </c>
      <c r="D185" s="3">
        <v>10431</v>
      </c>
      <c r="E185" s="9">
        <v>1892.25</v>
      </c>
    </row>
    <row r="186" spans="1:5" x14ac:dyDescent="0.25">
      <c r="A186" s="3" t="s">
        <v>8</v>
      </c>
      <c r="B186" s="3" t="s">
        <v>10</v>
      </c>
      <c r="C186" s="1">
        <v>38024</v>
      </c>
      <c r="D186" s="3">
        <v>10432</v>
      </c>
      <c r="E186" s="9">
        <v>485</v>
      </c>
    </row>
    <row r="187" spans="1:5" x14ac:dyDescent="0.25">
      <c r="A187" s="3" t="s">
        <v>8</v>
      </c>
      <c r="B187" s="3" t="s">
        <v>10</v>
      </c>
      <c r="C187" s="1">
        <v>38050</v>
      </c>
      <c r="D187" s="3">
        <v>10433</v>
      </c>
      <c r="E187" s="9">
        <v>851.2</v>
      </c>
    </row>
    <row r="188" spans="1:5" x14ac:dyDescent="0.25">
      <c r="A188" s="3" t="s">
        <v>8</v>
      </c>
      <c r="B188" s="3" t="s">
        <v>10</v>
      </c>
      <c r="C188" s="1">
        <v>38030</v>
      </c>
      <c r="D188" s="3">
        <v>10434</v>
      </c>
      <c r="E188" s="9">
        <v>321.12</v>
      </c>
    </row>
    <row r="189" spans="1:5" x14ac:dyDescent="0.25">
      <c r="A189" s="3" t="s">
        <v>8</v>
      </c>
      <c r="B189" s="3" t="s">
        <v>13</v>
      </c>
      <c r="C189" s="1">
        <v>38024</v>
      </c>
      <c r="D189" s="3">
        <v>10435</v>
      </c>
      <c r="E189" s="9">
        <v>631.6</v>
      </c>
    </row>
    <row r="190" spans="1:5" x14ac:dyDescent="0.25">
      <c r="A190" s="3" t="s">
        <v>8</v>
      </c>
      <c r="B190" s="3" t="s">
        <v>10</v>
      </c>
      <c r="C190" s="1">
        <v>38028</v>
      </c>
      <c r="D190" s="3">
        <v>10436</v>
      </c>
      <c r="E190" s="9">
        <v>1994.52</v>
      </c>
    </row>
    <row r="191" spans="1:5" x14ac:dyDescent="0.25">
      <c r="A191" s="3" t="s">
        <v>8</v>
      </c>
      <c r="B191" s="3" t="s">
        <v>13</v>
      </c>
      <c r="C191" s="1">
        <v>38029</v>
      </c>
      <c r="D191" s="3">
        <v>10437</v>
      </c>
      <c r="E191" s="9">
        <v>393</v>
      </c>
    </row>
    <row r="192" spans="1:5" x14ac:dyDescent="0.25">
      <c r="A192" s="3" t="s">
        <v>8</v>
      </c>
      <c r="B192" s="3" t="s">
        <v>10</v>
      </c>
      <c r="C192" s="1">
        <v>38031</v>
      </c>
      <c r="D192" s="3">
        <v>10438</v>
      </c>
      <c r="E192" s="9">
        <v>454</v>
      </c>
    </row>
    <row r="193" spans="1:5" x14ac:dyDescent="0.25">
      <c r="A193" s="3" t="s">
        <v>5</v>
      </c>
      <c r="B193" s="3" t="s">
        <v>7</v>
      </c>
      <c r="C193" s="1">
        <v>38027</v>
      </c>
      <c r="D193" s="3">
        <v>10439</v>
      </c>
      <c r="E193" s="9">
        <v>1078</v>
      </c>
    </row>
    <row r="194" spans="1:5" x14ac:dyDescent="0.25">
      <c r="A194" s="3" t="s">
        <v>8</v>
      </c>
      <c r="B194" s="3" t="s">
        <v>9</v>
      </c>
      <c r="C194" s="1">
        <v>38045</v>
      </c>
      <c r="D194" s="3">
        <v>10440</v>
      </c>
      <c r="E194" s="9">
        <v>4924.13</v>
      </c>
    </row>
    <row r="195" spans="1:5" x14ac:dyDescent="0.25">
      <c r="A195" s="3" t="s">
        <v>8</v>
      </c>
      <c r="B195" s="3" t="s">
        <v>10</v>
      </c>
      <c r="C195" s="1">
        <v>38060</v>
      </c>
      <c r="D195" s="3">
        <v>10441</v>
      </c>
      <c r="E195" s="9">
        <v>1755</v>
      </c>
    </row>
    <row r="196" spans="1:5" x14ac:dyDescent="0.25">
      <c r="A196" s="3" t="s">
        <v>8</v>
      </c>
      <c r="B196" s="3" t="s">
        <v>10</v>
      </c>
      <c r="C196" s="1">
        <v>38035</v>
      </c>
      <c r="D196" s="3">
        <v>10442</v>
      </c>
      <c r="E196" s="9">
        <v>1792</v>
      </c>
    </row>
    <row r="197" spans="1:5" x14ac:dyDescent="0.25">
      <c r="A197" s="3" t="s">
        <v>8</v>
      </c>
      <c r="B197" s="3" t="s">
        <v>13</v>
      </c>
      <c r="C197" s="1">
        <v>38031</v>
      </c>
      <c r="D197" s="3">
        <v>10443</v>
      </c>
      <c r="E197" s="9">
        <v>517.44000000000005</v>
      </c>
    </row>
    <row r="198" spans="1:5" x14ac:dyDescent="0.25">
      <c r="A198" s="3" t="s">
        <v>8</v>
      </c>
      <c r="B198" s="3" t="s">
        <v>10</v>
      </c>
      <c r="C198" s="1">
        <v>38038</v>
      </c>
      <c r="D198" s="3">
        <v>10444</v>
      </c>
      <c r="E198" s="9">
        <v>1031.7</v>
      </c>
    </row>
    <row r="199" spans="1:5" x14ac:dyDescent="0.25">
      <c r="A199" s="3" t="s">
        <v>8</v>
      </c>
      <c r="B199" s="3" t="s">
        <v>10</v>
      </c>
      <c r="C199" s="1">
        <v>38037</v>
      </c>
      <c r="D199" s="3">
        <v>10445</v>
      </c>
      <c r="E199" s="9">
        <v>174.9</v>
      </c>
    </row>
    <row r="200" spans="1:5" x14ac:dyDescent="0.25">
      <c r="A200" s="3" t="s">
        <v>5</v>
      </c>
      <c r="B200" s="3" t="s">
        <v>7</v>
      </c>
      <c r="C200" s="1">
        <v>38036</v>
      </c>
      <c r="D200" s="3">
        <v>10446</v>
      </c>
      <c r="E200" s="9">
        <v>246.24</v>
      </c>
    </row>
    <row r="201" spans="1:5" x14ac:dyDescent="0.25">
      <c r="A201" s="3" t="s">
        <v>8</v>
      </c>
      <c r="B201" s="3" t="s">
        <v>9</v>
      </c>
      <c r="C201" s="1">
        <v>38053</v>
      </c>
      <c r="D201" s="3">
        <v>10447</v>
      </c>
      <c r="E201" s="9">
        <v>914.4</v>
      </c>
    </row>
    <row r="202" spans="1:5" x14ac:dyDescent="0.25">
      <c r="A202" s="3" t="s">
        <v>8</v>
      </c>
      <c r="B202" s="3" t="s">
        <v>9</v>
      </c>
      <c r="C202" s="1">
        <v>38041</v>
      </c>
      <c r="D202" s="3">
        <v>10448</v>
      </c>
      <c r="E202" s="9">
        <v>443.4</v>
      </c>
    </row>
    <row r="203" spans="1:5" x14ac:dyDescent="0.25">
      <c r="A203" s="3" t="s">
        <v>8</v>
      </c>
      <c r="B203" s="3" t="s">
        <v>10</v>
      </c>
      <c r="C203" s="1">
        <v>38044</v>
      </c>
      <c r="D203" s="3">
        <v>10449</v>
      </c>
      <c r="E203" s="9">
        <v>1838.2</v>
      </c>
    </row>
    <row r="204" spans="1:5" x14ac:dyDescent="0.25">
      <c r="A204" s="3" t="s">
        <v>8</v>
      </c>
      <c r="B204" s="3" t="s">
        <v>13</v>
      </c>
      <c r="C204" s="1">
        <v>38057</v>
      </c>
      <c r="D204" s="3">
        <v>10450</v>
      </c>
      <c r="E204" s="9">
        <v>425.12</v>
      </c>
    </row>
    <row r="205" spans="1:5" x14ac:dyDescent="0.25">
      <c r="A205" s="3" t="s">
        <v>8</v>
      </c>
      <c r="B205" s="3" t="s">
        <v>9</v>
      </c>
      <c r="C205" s="1">
        <v>38058</v>
      </c>
      <c r="D205" s="3">
        <v>10451</v>
      </c>
      <c r="E205" s="9">
        <v>3849.66</v>
      </c>
    </row>
    <row r="206" spans="1:5" x14ac:dyDescent="0.25">
      <c r="A206" s="3" t="s">
        <v>8</v>
      </c>
      <c r="B206" s="3" t="s">
        <v>13</v>
      </c>
      <c r="C206" s="1">
        <v>38043</v>
      </c>
      <c r="D206" s="3">
        <v>10452</v>
      </c>
      <c r="E206" s="9">
        <v>2018.5</v>
      </c>
    </row>
    <row r="207" spans="1:5" x14ac:dyDescent="0.25">
      <c r="A207" s="3" t="s">
        <v>8</v>
      </c>
      <c r="B207" s="3" t="s">
        <v>12</v>
      </c>
      <c r="C207" s="1">
        <v>38043</v>
      </c>
      <c r="D207" s="3">
        <v>10453</v>
      </c>
      <c r="E207" s="9">
        <v>407.7</v>
      </c>
    </row>
    <row r="208" spans="1:5" x14ac:dyDescent="0.25">
      <c r="A208" s="3" t="s">
        <v>8</v>
      </c>
      <c r="B208" s="3" t="s">
        <v>9</v>
      </c>
      <c r="C208" s="1">
        <v>38042</v>
      </c>
      <c r="D208" s="3">
        <v>10454</v>
      </c>
      <c r="E208" s="9">
        <v>331.2</v>
      </c>
    </row>
    <row r="209" spans="1:5" x14ac:dyDescent="0.25">
      <c r="A209" s="3" t="s">
        <v>8</v>
      </c>
      <c r="B209" s="3" t="s">
        <v>13</v>
      </c>
      <c r="C209" s="1">
        <v>38049</v>
      </c>
      <c r="D209" s="3">
        <v>10455</v>
      </c>
      <c r="E209" s="9">
        <v>2684</v>
      </c>
    </row>
    <row r="210" spans="1:5" x14ac:dyDescent="0.25">
      <c r="A210" s="3" t="s">
        <v>8</v>
      </c>
      <c r="B210" s="3" t="s">
        <v>13</v>
      </c>
      <c r="C210" s="1">
        <v>38045</v>
      </c>
      <c r="D210" s="3">
        <v>10456</v>
      </c>
      <c r="E210" s="9">
        <v>557.6</v>
      </c>
    </row>
    <row r="211" spans="1:5" x14ac:dyDescent="0.25">
      <c r="A211" s="3" t="s">
        <v>8</v>
      </c>
      <c r="B211" s="3" t="s">
        <v>14</v>
      </c>
      <c r="C211" s="1">
        <v>38049</v>
      </c>
      <c r="D211" s="3">
        <v>10457</v>
      </c>
      <c r="E211" s="9">
        <v>1584</v>
      </c>
    </row>
    <row r="212" spans="1:5" x14ac:dyDescent="0.25">
      <c r="A212" s="3" t="s">
        <v>5</v>
      </c>
      <c r="B212" s="3" t="s">
        <v>15</v>
      </c>
      <c r="C212" s="1">
        <v>38050</v>
      </c>
      <c r="D212" s="3">
        <v>10458</v>
      </c>
      <c r="E212" s="9">
        <v>3891</v>
      </c>
    </row>
    <row r="213" spans="1:5" x14ac:dyDescent="0.25">
      <c r="A213" s="3" t="s">
        <v>8</v>
      </c>
      <c r="B213" s="3" t="s">
        <v>9</v>
      </c>
      <c r="C213" s="1">
        <v>38045</v>
      </c>
      <c r="D213" s="3">
        <v>10459</v>
      </c>
      <c r="E213" s="9">
        <v>1659.2</v>
      </c>
    </row>
    <row r="214" spans="1:5" x14ac:dyDescent="0.25">
      <c r="A214" s="3" t="s">
        <v>8</v>
      </c>
      <c r="B214" s="3" t="s">
        <v>13</v>
      </c>
      <c r="C214" s="1">
        <v>38049</v>
      </c>
      <c r="D214" s="3">
        <v>10460</v>
      </c>
      <c r="E214" s="9">
        <v>176.1</v>
      </c>
    </row>
    <row r="215" spans="1:5" x14ac:dyDescent="0.25">
      <c r="A215" s="3" t="s">
        <v>8</v>
      </c>
      <c r="B215" s="3" t="s">
        <v>12</v>
      </c>
      <c r="C215" s="1">
        <v>38051</v>
      </c>
      <c r="D215" s="3">
        <v>10461</v>
      </c>
      <c r="E215" s="9">
        <v>1538.7</v>
      </c>
    </row>
    <row r="216" spans="1:5" x14ac:dyDescent="0.25">
      <c r="A216" s="3" t="s">
        <v>8</v>
      </c>
      <c r="B216" s="3" t="s">
        <v>14</v>
      </c>
      <c r="C216" s="1">
        <v>38064</v>
      </c>
      <c r="D216" s="3">
        <v>10462</v>
      </c>
      <c r="E216" s="9">
        <v>156</v>
      </c>
    </row>
    <row r="217" spans="1:5" x14ac:dyDescent="0.25">
      <c r="A217" s="3" t="s">
        <v>5</v>
      </c>
      <c r="B217" s="3" t="s">
        <v>6</v>
      </c>
      <c r="C217" s="1">
        <v>38052</v>
      </c>
      <c r="D217" s="3">
        <v>10463</v>
      </c>
      <c r="E217" s="9">
        <v>713.3</v>
      </c>
    </row>
    <row r="218" spans="1:5" x14ac:dyDescent="0.25">
      <c r="A218" s="3" t="s">
        <v>8</v>
      </c>
      <c r="B218" s="3" t="s">
        <v>9</v>
      </c>
      <c r="C218" s="1">
        <v>38060</v>
      </c>
      <c r="D218" s="3">
        <v>10464</v>
      </c>
      <c r="E218" s="9">
        <v>1609.28</v>
      </c>
    </row>
    <row r="219" spans="1:5" x14ac:dyDescent="0.25">
      <c r="A219" s="3" t="s">
        <v>8</v>
      </c>
      <c r="B219" s="3" t="s">
        <v>12</v>
      </c>
      <c r="C219" s="1">
        <v>38060</v>
      </c>
      <c r="D219" s="3">
        <v>10465</v>
      </c>
      <c r="E219" s="9">
        <v>2518</v>
      </c>
    </row>
    <row r="220" spans="1:5" x14ac:dyDescent="0.25">
      <c r="A220" s="3" t="s">
        <v>8</v>
      </c>
      <c r="B220" s="3" t="s">
        <v>9</v>
      </c>
      <c r="C220" s="1">
        <v>38059</v>
      </c>
      <c r="D220" s="3">
        <v>10466</v>
      </c>
      <c r="E220" s="9">
        <v>216</v>
      </c>
    </row>
    <row r="221" spans="1:5" x14ac:dyDescent="0.25">
      <c r="A221" s="3" t="s">
        <v>8</v>
      </c>
      <c r="B221" s="3" t="s">
        <v>13</v>
      </c>
      <c r="C221" s="1">
        <v>38057</v>
      </c>
      <c r="D221" s="3">
        <v>10467</v>
      </c>
      <c r="E221" s="9">
        <v>235.2</v>
      </c>
    </row>
    <row r="222" spans="1:5" x14ac:dyDescent="0.25">
      <c r="A222" s="3" t="s">
        <v>8</v>
      </c>
      <c r="B222" s="3" t="s">
        <v>10</v>
      </c>
      <c r="C222" s="1">
        <v>38058</v>
      </c>
      <c r="D222" s="3">
        <v>10468</v>
      </c>
      <c r="E222" s="9">
        <v>717.6</v>
      </c>
    </row>
    <row r="223" spans="1:5" x14ac:dyDescent="0.25">
      <c r="A223" s="3" t="s">
        <v>8</v>
      </c>
      <c r="B223" s="3" t="s">
        <v>12</v>
      </c>
      <c r="C223" s="1">
        <v>38060</v>
      </c>
      <c r="D223" s="3">
        <v>10469</v>
      </c>
      <c r="E223" s="9">
        <v>956.67</v>
      </c>
    </row>
    <row r="224" spans="1:5" x14ac:dyDescent="0.25">
      <c r="A224" s="3" t="s">
        <v>8</v>
      </c>
      <c r="B224" s="3" t="s">
        <v>9</v>
      </c>
      <c r="C224" s="1">
        <v>38060</v>
      </c>
      <c r="D224" s="3">
        <v>10470</v>
      </c>
      <c r="E224" s="9">
        <v>1820.8</v>
      </c>
    </row>
    <row r="225" spans="1:5" x14ac:dyDescent="0.25">
      <c r="A225" s="3" t="s">
        <v>8</v>
      </c>
      <c r="B225" s="3" t="s">
        <v>14</v>
      </c>
      <c r="C225" s="1">
        <v>38064</v>
      </c>
      <c r="D225" s="3">
        <v>10471</v>
      </c>
      <c r="E225" s="9">
        <v>1328</v>
      </c>
    </row>
    <row r="226" spans="1:5" x14ac:dyDescent="0.25">
      <c r="A226" s="3" t="s">
        <v>8</v>
      </c>
      <c r="B226" s="3" t="s">
        <v>13</v>
      </c>
      <c r="C226" s="1">
        <v>38065</v>
      </c>
      <c r="D226" s="3">
        <v>10472</v>
      </c>
      <c r="E226" s="9">
        <v>1036.8</v>
      </c>
    </row>
    <row r="227" spans="1:5" x14ac:dyDescent="0.25">
      <c r="A227" s="3" t="s">
        <v>8</v>
      </c>
      <c r="B227" s="3" t="s">
        <v>12</v>
      </c>
      <c r="C227" s="1">
        <v>38067</v>
      </c>
      <c r="D227" s="3">
        <v>10473</v>
      </c>
      <c r="E227" s="9">
        <v>230.4</v>
      </c>
    </row>
    <row r="228" spans="1:5" x14ac:dyDescent="0.25">
      <c r="A228" s="3" t="s">
        <v>5</v>
      </c>
      <c r="B228" s="3" t="s">
        <v>6</v>
      </c>
      <c r="C228" s="1">
        <v>38067</v>
      </c>
      <c r="D228" s="3">
        <v>10474</v>
      </c>
      <c r="E228" s="9">
        <v>1249.0999999999999</v>
      </c>
    </row>
    <row r="229" spans="1:5" x14ac:dyDescent="0.25">
      <c r="A229" s="3" t="s">
        <v>5</v>
      </c>
      <c r="B229" s="3" t="s">
        <v>11</v>
      </c>
      <c r="C229" s="1">
        <v>38081</v>
      </c>
      <c r="D229" s="3">
        <v>10475</v>
      </c>
      <c r="E229" s="9">
        <v>1505.18</v>
      </c>
    </row>
    <row r="230" spans="1:5" x14ac:dyDescent="0.25">
      <c r="A230" s="3" t="s">
        <v>8</v>
      </c>
      <c r="B230" s="3" t="s">
        <v>13</v>
      </c>
      <c r="C230" s="1">
        <v>38070</v>
      </c>
      <c r="D230" s="3">
        <v>10476</v>
      </c>
      <c r="E230" s="9">
        <v>180.48</v>
      </c>
    </row>
    <row r="231" spans="1:5" x14ac:dyDescent="0.25">
      <c r="A231" s="3" t="s">
        <v>5</v>
      </c>
      <c r="B231" s="3" t="s">
        <v>6</v>
      </c>
      <c r="C231" s="1">
        <v>38071</v>
      </c>
      <c r="D231" s="3">
        <v>10477</v>
      </c>
      <c r="E231" s="9">
        <v>558</v>
      </c>
    </row>
    <row r="232" spans="1:5" x14ac:dyDescent="0.25">
      <c r="A232" s="3" t="s">
        <v>8</v>
      </c>
      <c r="B232" s="3" t="s">
        <v>14</v>
      </c>
      <c r="C232" s="1">
        <v>38072</v>
      </c>
      <c r="D232" s="3">
        <v>10478</v>
      </c>
      <c r="E232" s="9">
        <v>471.2</v>
      </c>
    </row>
    <row r="233" spans="1:5" x14ac:dyDescent="0.25">
      <c r="A233" s="3" t="s">
        <v>8</v>
      </c>
      <c r="B233" s="3" t="s">
        <v>10</v>
      </c>
      <c r="C233" s="1">
        <v>38067</v>
      </c>
      <c r="D233" s="3">
        <v>10479</v>
      </c>
      <c r="E233" s="9">
        <v>10495.6</v>
      </c>
    </row>
    <row r="234" spans="1:5" x14ac:dyDescent="0.25">
      <c r="A234" s="3" t="s">
        <v>5</v>
      </c>
      <c r="B234" s="3" t="s">
        <v>7</v>
      </c>
      <c r="C234" s="1">
        <v>38070</v>
      </c>
      <c r="D234" s="3">
        <v>10480</v>
      </c>
      <c r="E234" s="9">
        <v>756</v>
      </c>
    </row>
    <row r="235" spans="1:5" x14ac:dyDescent="0.25">
      <c r="A235" s="3" t="s">
        <v>8</v>
      </c>
      <c r="B235" s="3" t="s">
        <v>13</v>
      </c>
      <c r="C235" s="1">
        <v>38071</v>
      </c>
      <c r="D235" s="3">
        <v>10481</v>
      </c>
      <c r="E235" s="9">
        <v>1472</v>
      </c>
    </row>
    <row r="236" spans="1:5" x14ac:dyDescent="0.25">
      <c r="A236" s="3" t="s">
        <v>8</v>
      </c>
      <c r="B236" s="3" t="s">
        <v>12</v>
      </c>
      <c r="C236" s="1">
        <v>38087</v>
      </c>
      <c r="D236" s="3">
        <v>10482</v>
      </c>
      <c r="E236" s="9">
        <v>147</v>
      </c>
    </row>
    <row r="237" spans="1:5" x14ac:dyDescent="0.25">
      <c r="A237" s="3" t="s">
        <v>5</v>
      </c>
      <c r="B237" s="3" t="s">
        <v>15</v>
      </c>
      <c r="C237" s="1">
        <v>38102</v>
      </c>
      <c r="D237" s="3">
        <v>10483</v>
      </c>
      <c r="E237" s="9">
        <v>668.8</v>
      </c>
    </row>
    <row r="238" spans="1:5" x14ac:dyDescent="0.25">
      <c r="A238" s="3" t="s">
        <v>8</v>
      </c>
      <c r="B238" s="3" t="s">
        <v>10</v>
      </c>
      <c r="C238" s="1">
        <v>38078</v>
      </c>
      <c r="D238" s="3">
        <v>10484</v>
      </c>
      <c r="E238" s="9">
        <v>386.2</v>
      </c>
    </row>
    <row r="239" spans="1:5" x14ac:dyDescent="0.25">
      <c r="A239" s="3" t="s">
        <v>8</v>
      </c>
      <c r="B239" s="3" t="s">
        <v>9</v>
      </c>
      <c r="C239" s="1">
        <v>38077</v>
      </c>
      <c r="D239" s="3">
        <v>10485</v>
      </c>
      <c r="E239" s="9">
        <v>1584</v>
      </c>
    </row>
    <row r="240" spans="1:5" x14ac:dyDescent="0.25">
      <c r="A240" s="3" t="s">
        <v>8</v>
      </c>
      <c r="B240" s="3" t="s">
        <v>12</v>
      </c>
      <c r="C240" s="1">
        <v>38079</v>
      </c>
      <c r="D240" s="3">
        <v>10486</v>
      </c>
      <c r="E240" s="9">
        <v>1272</v>
      </c>
    </row>
    <row r="241" spans="1:5" x14ac:dyDescent="0.25">
      <c r="A241" s="3" t="s">
        <v>8</v>
      </c>
      <c r="B241" s="3" t="s">
        <v>14</v>
      </c>
      <c r="C241" s="1">
        <v>38074</v>
      </c>
      <c r="D241" s="3">
        <v>10487</v>
      </c>
      <c r="E241" s="9">
        <v>889.7</v>
      </c>
    </row>
    <row r="242" spans="1:5" x14ac:dyDescent="0.25">
      <c r="A242" s="3" t="s">
        <v>8</v>
      </c>
      <c r="B242" s="3" t="s">
        <v>13</v>
      </c>
      <c r="C242" s="1">
        <v>38079</v>
      </c>
      <c r="D242" s="3">
        <v>10488</v>
      </c>
      <c r="E242" s="9">
        <v>1512</v>
      </c>
    </row>
    <row r="243" spans="1:5" x14ac:dyDescent="0.25">
      <c r="A243" s="3" t="s">
        <v>5</v>
      </c>
      <c r="B243" s="3" t="s">
        <v>7</v>
      </c>
      <c r="C243" s="1">
        <v>38086</v>
      </c>
      <c r="D243" s="3">
        <v>10489</v>
      </c>
      <c r="E243" s="9">
        <v>439.2</v>
      </c>
    </row>
    <row r="244" spans="1:5" x14ac:dyDescent="0.25">
      <c r="A244" s="3" t="s">
        <v>5</v>
      </c>
      <c r="B244" s="3" t="s">
        <v>15</v>
      </c>
      <c r="C244" s="1">
        <v>38080</v>
      </c>
      <c r="D244" s="3">
        <v>10490</v>
      </c>
      <c r="E244" s="9">
        <v>3163.2</v>
      </c>
    </row>
    <row r="245" spans="1:5" x14ac:dyDescent="0.25">
      <c r="A245" s="3" t="s">
        <v>8</v>
      </c>
      <c r="B245" s="3" t="s">
        <v>13</v>
      </c>
      <c r="C245" s="1">
        <v>38085</v>
      </c>
      <c r="D245" s="3">
        <v>10491</v>
      </c>
      <c r="E245" s="9">
        <v>259.5</v>
      </c>
    </row>
    <row r="246" spans="1:5" x14ac:dyDescent="0.25">
      <c r="A246" s="3" t="s">
        <v>8</v>
      </c>
      <c r="B246" s="3" t="s">
        <v>10</v>
      </c>
      <c r="C246" s="1">
        <v>38088</v>
      </c>
      <c r="D246" s="3">
        <v>10492</v>
      </c>
      <c r="E246" s="9">
        <v>851.2</v>
      </c>
    </row>
    <row r="247" spans="1:5" x14ac:dyDescent="0.25">
      <c r="A247" s="3" t="s">
        <v>8</v>
      </c>
      <c r="B247" s="3" t="s">
        <v>9</v>
      </c>
      <c r="C247" s="1">
        <v>38087</v>
      </c>
      <c r="D247" s="3">
        <v>10493</v>
      </c>
      <c r="E247" s="9">
        <v>608.4</v>
      </c>
    </row>
    <row r="248" spans="1:5" x14ac:dyDescent="0.25">
      <c r="A248" s="3" t="s">
        <v>8</v>
      </c>
      <c r="B248" s="3" t="s">
        <v>9</v>
      </c>
      <c r="C248" s="1">
        <v>38086</v>
      </c>
      <c r="D248" s="3">
        <v>10494</v>
      </c>
      <c r="E248" s="9">
        <v>912</v>
      </c>
    </row>
    <row r="249" spans="1:5" x14ac:dyDescent="0.25">
      <c r="A249" s="3" t="s">
        <v>8</v>
      </c>
      <c r="B249" s="3" t="s">
        <v>10</v>
      </c>
      <c r="C249" s="1">
        <v>38088</v>
      </c>
      <c r="D249" s="3">
        <v>10495</v>
      </c>
      <c r="E249" s="9">
        <v>278</v>
      </c>
    </row>
    <row r="250" spans="1:5" x14ac:dyDescent="0.25">
      <c r="A250" s="3" t="s">
        <v>5</v>
      </c>
      <c r="B250" s="3" t="s">
        <v>15</v>
      </c>
      <c r="C250" s="1">
        <v>38084</v>
      </c>
      <c r="D250" s="3">
        <v>10496</v>
      </c>
      <c r="E250" s="9">
        <v>190</v>
      </c>
    </row>
    <row r="251" spans="1:5" x14ac:dyDescent="0.25">
      <c r="A251" s="3" t="s">
        <v>5</v>
      </c>
      <c r="B251" s="3" t="s">
        <v>15</v>
      </c>
      <c r="C251" s="1">
        <v>38084</v>
      </c>
      <c r="D251" s="3">
        <v>10497</v>
      </c>
      <c r="E251" s="9">
        <v>1380.6</v>
      </c>
    </row>
    <row r="252" spans="1:5" x14ac:dyDescent="0.25">
      <c r="A252" s="3" t="s">
        <v>8</v>
      </c>
      <c r="B252" s="3" t="s">
        <v>13</v>
      </c>
      <c r="C252" s="1">
        <v>38088</v>
      </c>
      <c r="D252" s="3">
        <v>10498</v>
      </c>
      <c r="E252" s="9">
        <v>575</v>
      </c>
    </row>
    <row r="253" spans="1:5" x14ac:dyDescent="0.25">
      <c r="A253" s="3" t="s">
        <v>8</v>
      </c>
      <c r="B253" s="3" t="s">
        <v>9</v>
      </c>
      <c r="C253" s="1">
        <v>38093</v>
      </c>
      <c r="D253" s="3">
        <v>10499</v>
      </c>
      <c r="E253" s="9">
        <v>1412</v>
      </c>
    </row>
    <row r="254" spans="1:5" x14ac:dyDescent="0.25">
      <c r="A254" s="3" t="s">
        <v>5</v>
      </c>
      <c r="B254" s="3" t="s">
        <v>7</v>
      </c>
      <c r="C254" s="1">
        <v>38094</v>
      </c>
      <c r="D254" s="3">
        <v>10500</v>
      </c>
      <c r="E254" s="9">
        <v>523.26</v>
      </c>
    </row>
    <row r="255" spans="1:5" x14ac:dyDescent="0.25">
      <c r="A255" s="3" t="s">
        <v>5</v>
      </c>
      <c r="B255" s="3" t="s">
        <v>11</v>
      </c>
      <c r="C255" s="1">
        <v>38093</v>
      </c>
      <c r="D255" s="3">
        <v>10501</v>
      </c>
      <c r="E255" s="9">
        <v>149</v>
      </c>
    </row>
    <row r="256" spans="1:5" x14ac:dyDescent="0.25">
      <c r="A256" s="3" t="s">
        <v>8</v>
      </c>
      <c r="B256" s="3" t="s">
        <v>14</v>
      </c>
      <c r="C256" s="1">
        <v>38106</v>
      </c>
      <c r="D256" s="3">
        <v>10502</v>
      </c>
      <c r="E256" s="9">
        <v>816.3</v>
      </c>
    </row>
    <row r="257" spans="1:5" x14ac:dyDescent="0.25">
      <c r="A257" s="3" t="s">
        <v>5</v>
      </c>
      <c r="B257" s="3" t="s">
        <v>7</v>
      </c>
      <c r="C257" s="1">
        <v>38093</v>
      </c>
      <c r="D257" s="3">
        <v>10503</v>
      </c>
      <c r="E257" s="9">
        <v>2048.5</v>
      </c>
    </row>
    <row r="258" spans="1:5" x14ac:dyDescent="0.25">
      <c r="A258" s="3" t="s">
        <v>8</v>
      </c>
      <c r="B258" s="3" t="s">
        <v>9</v>
      </c>
      <c r="C258" s="1">
        <v>38095</v>
      </c>
      <c r="D258" s="3">
        <v>10504</v>
      </c>
      <c r="E258" s="9">
        <v>1388.5</v>
      </c>
    </row>
    <row r="259" spans="1:5" x14ac:dyDescent="0.25">
      <c r="A259" s="3" t="s">
        <v>8</v>
      </c>
      <c r="B259" s="3" t="s">
        <v>10</v>
      </c>
      <c r="C259" s="1">
        <v>38098</v>
      </c>
      <c r="D259" s="3">
        <v>10505</v>
      </c>
      <c r="E259" s="9">
        <v>147.9</v>
      </c>
    </row>
    <row r="260" spans="1:5" x14ac:dyDescent="0.25">
      <c r="A260" s="3" t="s">
        <v>5</v>
      </c>
      <c r="B260" s="3" t="s">
        <v>11</v>
      </c>
      <c r="C260" s="1">
        <v>38109</v>
      </c>
      <c r="D260" s="3">
        <v>10506</v>
      </c>
      <c r="E260" s="9">
        <v>415.8</v>
      </c>
    </row>
    <row r="261" spans="1:5" x14ac:dyDescent="0.25">
      <c r="A261" s="3" t="s">
        <v>5</v>
      </c>
      <c r="B261" s="3" t="s">
        <v>15</v>
      </c>
      <c r="C261" s="1">
        <v>38099</v>
      </c>
      <c r="D261" s="3">
        <v>10507</v>
      </c>
      <c r="E261" s="9">
        <v>749.06</v>
      </c>
    </row>
    <row r="262" spans="1:5" x14ac:dyDescent="0.25">
      <c r="A262" s="3" t="s">
        <v>8</v>
      </c>
      <c r="B262" s="3" t="s">
        <v>12</v>
      </c>
      <c r="C262" s="1">
        <v>38120</v>
      </c>
      <c r="D262" s="3">
        <v>10508</v>
      </c>
      <c r="E262" s="9">
        <v>240</v>
      </c>
    </row>
    <row r="263" spans="1:5" x14ac:dyDescent="0.25">
      <c r="A263" s="3" t="s">
        <v>8</v>
      </c>
      <c r="B263" s="3" t="s">
        <v>9</v>
      </c>
      <c r="C263" s="1">
        <v>38106</v>
      </c>
      <c r="D263" s="3">
        <v>10509</v>
      </c>
      <c r="E263" s="9">
        <v>136.80000000000001</v>
      </c>
    </row>
    <row r="264" spans="1:5" x14ac:dyDescent="0.25">
      <c r="A264" s="3" t="s">
        <v>5</v>
      </c>
      <c r="B264" s="3" t="s">
        <v>7</v>
      </c>
      <c r="C264" s="1">
        <v>38105</v>
      </c>
      <c r="D264" s="3">
        <v>10510</v>
      </c>
      <c r="E264" s="9">
        <v>4707.54</v>
      </c>
    </row>
    <row r="265" spans="1:5" x14ac:dyDescent="0.25">
      <c r="A265" s="3" t="s">
        <v>8</v>
      </c>
      <c r="B265" s="3" t="s">
        <v>9</v>
      </c>
      <c r="C265" s="1">
        <v>38098</v>
      </c>
      <c r="D265" s="3">
        <v>10511</v>
      </c>
      <c r="E265" s="9">
        <v>2550</v>
      </c>
    </row>
    <row r="266" spans="1:5" x14ac:dyDescent="0.25">
      <c r="A266" s="3" t="s">
        <v>5</v>
      </c>
      <c r="B266" s="3" t="s">
        <v>15</v>
      </c>
      <c r="C266" s="1">
        <v>38101</v>
      </c>
      <c r="D266" s="3">
        <v>10512</v>
      </c>
      <c r="E266" s="9">
        <v>525.29999999999995</v>
      </c>
    </row>
    <row r="267" spans="1:5" x14ac:dyDescent="0.25">
      <c r="A267" s="3" t="s">
        <v>5</v>
      </c>
      <c r="B267" s="3" t="s">
        <v>15</v>
      </c>
      <c r="C267" s="1">
        <v>38105</v>
      </c>
      <c r="D267" s="3">
        <v>10513</v>
      </c>
      <c r="E267" s="9">
        <v>1942</v>
      </c>
    </row>
    <row r="268" spans="1:5" x14ac:dyDescent="0.25">
      <c r="A268" s="3" t="s">
        <v>8</v>
      </c>
      <c r="B268" s="3" t="s">
        <v>10</v>
      </c>
      <c r="C268" s="1">
        <v>38123</v>
      </c>
      <c r="D268" s="3">
        <v>10514</v>
      </c>
      <c r="E268" s="9">
        <v>8623.4500000000007</v>
      </c>
    </row>
    <row r="269" spans="1:5" x14ac:dyDescent="0.25">
      <c r="A269" s="3" t="s">
        <v>8</v>
      </c>
      <c r="B269" s="3" t="s">
        <v>14</v>
      </c>
      <c r="C269" s="1">
        <v>38130</v>
      </c>
      <c r="D269" s="3">
        <v>10515</v>
      </c>
      <c r="E269" s="9">
        <v>9921.2999999999993</v>
      </c>
    </row>
    <row r="270" spans="1:5" x14ac:dyDescent="0.25">
      <c r="A270" s="3" t="s">
        <v>8</v>
      </c>
      <c r="B270" s="3" t="s">
        <v>14</v>
      </c>
      <c r="C270" s="1">
        <v>38108</v>
      </c>
      <c r="D270" s="3">
        <v>10516</v>
      </c>
      <c r="E270" s="9">
        <v>2381.0500000000002</v>
      </c>
    </row>
    <row r="271" spans="1:5" x14ac:dyDescent="0.25">
      <c r="A271" s="3" t="s">
        <v>8</v>
      </c>
      <c r="B271" s="3" t="s">
        <v>10</v>
      </c>
      <c r="C271" s="1">
        <v>38106</v>
      </c>
      <c r="D271" s="3">
        <v>10517</v>
      </c>
      <c r="E271" s="9">
        <v>352</v>
      </c>
    </row>
    <row r="272" spans="1:5" x14ac:dyDescent="0.25">
      <c r="A272" s="3" t="s">
        <v>8</v>
      </c>
      <c r="B272" s="3" t="s">
        <v>9</v>
      </c>
      <c r="C272" s="1">
        <v>38112</v>
      </c>
      <c r="D272" s="3">
        <v>10518</v>
      </c>
      <c r="E272" s="9">
        <v>4150.05</v>
      </c>
    </row>
    <row r="273" spans="1:5" x14ac:dyDescent="0.25">
      <c r="A273" s="3" t="s">
        <v>5</v>
      </c>
      <c r="B273" s="3" t="s">
        <v>7</v>
      </c>
      <c r="C273" s="1">
        <v>38108</v>
      </c>
      <c r="D273" s="3">
        <v>10519</v>
      </c>
      <c r="E273" s="9">
        <v>2314.1999999999998</v>
      </c>
    </row>
    <row r="274" spans="1:5" x14ac:dyDescent="0.25">
      <c r="A274" s="3" t="s">
        <v>5</v>
      </c>
      <c r="B274" s="3" t="s">
        <v>15</v>
      </c>
      <c r="C274" s="1">
        <v>38108</v>
      </c>
      <c r="D274" s="3">
        <v>10520</v>
      </c>
      <c r="E274" s="9">
        <v>200</v>
      </c>
    </row>
    <row r="275" spans="1:5" x14ac:dyDescent="0.25">
      <c r="A275" s="3" t="s">
        <v>8</v>
      </c>
      <c r="B275" s="3" t="s">
        <v>13</v>
      </c>
      <c r="C275" s="1">
        <v>38109</v>
      </c>
      <c r="D275" s="3">
        <v>10521</v>
      </c>
      <c r="E275" s="9">
        <v>225.5</v>
      </c>
    </row>
    <row r="276" spans="1:5" x14ac:dyDescent="0.25">
      <c r="A276" s="3" t="s">
        <v>8</v>
      </c>
      <c r="B276" s="3" t="s">
        <v>9</v>
      </c>
      <c r="C276" s="1">
        <v>38113</v>
      </c>
      <c r="D276" s="3">
        <v>10522</v>
      </c>
      <c r="E276" s="9">
        <v>2318.2399999999998</v>
      </c>
    </row>
    <row r="277" spans="1:5" x14ac:dyDescent="0.25">
      <c r="A277" s="3" t="s">
        <v>5</v>
      </c>
      <c r="B277" s="3" t="s">
        <v>15</v>
      </c>
      <c r="C277" s="1">
        <v>38137</v>
      </c>
      <c r="D277" s="3">
        <v>10523</v>
      </c>
      <c r="E277" s="9">
        <v>2444.31</v>
      </c>
    </row>
    <row r="278" spans="1:5" x14ac:dyDescent="0.25">
      <c r="A278" s="3" t="s">
        <v>8</v>
      </c>
      <c r="B278" s="3" t="s">
        <v>12</v>
      </c>
      <c r="C278" s="1">
        <v>38114</v>
      </c>
      <c r="D278" s="3">
        <v>10524</v>
      </c>
      <c r="E278" s="9">
        <v>3192.65</v>
      </c>
    </row>
    <row r="279" spans="1:5" x14ac:dyDescent="0.25">
      <c r="A279" s="3" t="s">
        <v>8</v>
      </c>
      <c r="B279" s="3" t="s">
        <v>12</v>
      </c>
      <c r="C279" s="1">
        <v>38130</v>
      </c>
      <c r="D279" s="3">
        <v>10525</v>
      </c>
      <c r="E279" s="9">
        <v>818.4</v>
      </c>
    </row>
    <row r="280" spans="1:5" x14ac:dyDescent="0.25">
      <c r="A280" s="3" t="s">
        <v>8</v>
      </c>
      <c r="B280" s="3" t="s">
        <v>9</v>
      </c>
      <c r="C280" s="1">
        <v>38122</v>
      </c>
      <c r="D280" s="3">
        <v>10526</v>
      </c>
      <c r="E280" s="9">
        <v>1151.4000000000001</v>
      </c>
    </row>
    <row r="281" spans="1:5" x14ac:dyDescent="0.25">
      <c r="A281" s="3" t="s">
        <v>5</v>
      </c>
      <c r="B281" s="3" t="s">
        <v>15</v>
      </c>
      <c r="C281" s="1">
        <v>38114</v>
      </c>
      <c r="D281" s="3">
        <v>10527</v>
      </c>
      <c r="E281" s="9">
        <v>1503</v>
      </c>
    </row>
    <row r="282" spans="1:5" x14ac:dyDescent="0.25">
      <c r="A282" s="3" t="s">
        <v>5</v>
      </c>
      <c r="B282" s="3" t="s">
        <v>7</v>
      </c>
      <c r="C282" s="1">
        <v>38116</v>
      </c>
      <c r="D282" s="3">
        <v>10528</v>
      </c>
      <c r="E282" s="9">
        <v>392.2</v>
      </c>
    </row>
    <row r="283" spans="1:5" x14ac:dyDescent="0.25">
      <c r="A283" s="3" t="s">
        <v>5</v>
      </c>
      <c r="B283" s="3" t="s">
        <v>6</v>
      </c>
      <c r="C283" s="1">
        <v>38116</v>
      </c>
      <c r="D283" s="3">
        <v>10529</v>
      </c>
      <c r="E283" s="9">
        <v>946</v>
      </c>
    </row>
    <row r="284" spans="1:5" x14ac:dyDescent="0.25">
      <c r="A284" s="3" t="s">
        <v>8</v>
      </c>
      <c r="B284" s="3" t="s">
        <v>10</v>
      </c>
      <c r="C284" s="1">
        <v>38119</v>
      </c>
      <c r="D284" s="3">
        <v>10530</v>
      </c>
      <c r="E284" s="9">
        <v>4180</v>
      </c>
    </row>
    <row r="285" spans="1:5" x14ac:dyDescent="0.25">
      <c r="A285" s="3" t="s">
        <v>5</v>
      </c>
      <c r="B285" s="3" t="s">
        <v>15</v>
      </c>
      <c r="C285" s="1">
        <v>38126</v>
      </c>
      <c r="D285" s="3">
        <v>10531</v>
      </c>
      <c r="E285" s="9">
        <v>110</v>
      </c>
    </row>
    <row r="286" spans="1:5" x14ac:dyDescent="0.25">
      <c r="A286" s="3" t="s">
        <v>5</v>
      </c>
      <c r="B286" s="3" t="s">
        <v>15</v>
      </c>
      <c r="C286" s="1">
        <v>38119</v>
      </c>
      <c r="D286" s="3">
        <v>10532</v>
      </c>
      <c r="E286" s="9">
        <v>796.35</v>
      </c>
    </row>
    <row r="287" spans="1:5" x14ac:dyDescent="0.25">
      <c r="A287" s="3" t="s">
        <v>8</v>
      </c>
      <c r="B287" s="3" t="s">
        <v>13</v>
      </c>
      <c r="C287" s="1">
        <v>38129</v>
      </c>
      <c r="D287" s="3">
        <v>10533</v>
      </c>
      <c r="E287" s="9">
        <v>2222.1999999999998</v>
      </c>
    </row>
    <row r="288" spans="1:5" x14ac:dyDescent="0.25">
      <c r="A288" s="3" t="s">
        <v>8</v>
      </c>
      <c r="B288" s="3" t="s">
        <v>13</v>
      </c>
      <c r="C288" s="1">
        <v>38121</v>
      </c>
      <c r="D288" s="3">
        <v>10534</v>
      </c>
      <c r="E288" s="9">
        <v>465.7</v>
      </c>
    </row>
    <row r="289" spans="1:5" x14ac:dyDescent="0.25">
      <c r="A289" s="3" t="s">
        <v>8</v>
      </c>
      <c r="B289" s="3" t="s">
        <v>9</v>
      </c>
      <c r="C289" s="1">
        <v>38128</v>
      </c>
      <c r="D289" s="3">
        <v>10535</v>
      </c>
      <c r="E289" s="9">
        <v>1940.85</v>
      </c>
    </row>
    <row r="290" spans="1:5" x14ac:dyDescent="0.25">
      <c r="A290" s="3" t="s">
        <v>8</v>
      </c>
      <c r="B290" s="3" t="s">
        <v>10</v>
      </c>
      <c r="C290" s="1">
        <v>38144</v>
      </c>
      <c r="D290" s="3">
        <v>10536</v>
      </c>
      <c r="E290" s="9">
        <v>1645</v>
      </c>
    </row>
    <row r="291" spans="1:5" x14ac:dyDescent="0.25">
      <c r="A291" s="3" t="s">
        <v>8</v>
      </c>
      <c r="B291" s="3" t="s">
        <v>12</v>
      </c>
      <c r="C291" s="1">
        <v>38126</v>
      </c>
      <c r="D291" s="3">
        <v>10537</v>
      </c>
      <c r="E291" s="9">
        <v>1823.8</v>
      </c>
    </row>
    <row r="292" spans="1:5" x14ac:dyDescent="0.25">
      <c r="A292" s="3" t="s">
        <v>5</v>
      </c>
      <c r="B292" s="3" t="s">
        <v>11</v>
      </c>
      <c r="C292" s="1">
        <v>38123</v>
      </c>
      <c r="D292" s="3">
        <v>10538</v>
      </c>
      <c r="E292" s="9">
        <v>139.80000000000001</v>
      </c>
    </row>
    <row r="293" spans="1:5" x14ac:dyDescent="0.25">
      <c r="A293" s="3" t="s">
        <v>5</v>
      </c>
      <c r="B293" s="3" t="s">
        <v>7</v>
      </c>
      <c r="C293" s="1">
        <v>38130</v>
      </c>
      <c r="D293" s="3">
        <v>10539</v>
      </c>
      <c r="E293" s="9">
        <v>355.5</v>
      </c>
    </row>
    <row r="294" spans="1:5" x14ac:dyDescent="0.25">
      <c r="A294" s="3" t="s">
        <v>8</v>
      </c>
      <c r="B294" s="3" t="s">
        <v>10</v>
      </c>
      <c r="C294" s="1">
        <v>38151</v>
      </c>
      <c r="D294" s="3">
        <v>10540</v>
      </c>
      <c r="E294" s="9">
        <v>10191.700000000001</v>
      </c>
    </row>
    <row r="295" spans="1:5" x14ac:dyDescent="0.25">
      <c r="A295" s="3" t="s">
        <v>8</v>
      </c>
      <c r="B295" s="3" t="s">
        <v>14</v>
      </c>
      <c r="C295" s="1">
        <v>38136</v>
      </c>
      <c r="D295" s="3">
        <v>10541</v>
      </c>
      <c r="E295" s="9">
        <v>1946.52</v>
      </c>
    </row>
    <row r="296" spans="1:5" x14ac:dyDescent="0.25">
      <c r="A296" s="3" t="s">
        <v>8</v>
      </c>
      <c r="B296" s="3" t="s">
        <v>12</v>
      </c>
      <c r="C296" s="1">
        <v>38133</v>
      </c>
      <c r="D296" s="3">
        <v>10542</v>
      </c>
      <c r="E296" s="9">
        <v>469.11</v>
      </c>
    </row>
    <row r="297" spans="1:5" x14ac:dyDescent="0.25">
      <c r="A297" s="3" t="s">
        <v>8</v>
      </c>
      <c r="B297" s="3" t="s">
        <v>13</v>
      </c>
      <c r="C297" s="1">
        <v>38130</v>
      </c>
      <c r="D297" s="3">
        <v>10543</v>
      </c>
      <c r="E297" s="9">
        <v>1504.5</v>
      </c>
    </row>
    <row r="298" spans="1:5" x14ac:dyDescent="0.25">
      <c r="A298" s="3" t="s">
        <v>8</v>
      </c>
      <c r="B298" s="3" t="s">
        <v>9</v>
      </c>
      <c r="C298" s="1">
        <v>38137</v>
      </c>
      <c r="D298" s="3">
        <v>10544</v>
      </c>
      <c r="E298" s="9">
        <v>417.2</v>
      </c>
    </row>
    <row r="299" spans="1:5" x14ac:dyDescent="0.25">
      <c r="A299" s="3" t="s">
        <v>8</v>
      </c>
      <c r="B299" s="3" t="s">
        <v>13</v>
      </c>
      <c r="C299" s="1">
        <v>38164</v>
      </c>
      <c r="D299" s="3">
        <v>10545</v>
      </c>
      <c r="E299" s="9">
        <v>210</v>
      </c>
    </row>
    <row r="300" spans="1:5" x14ac:dyDescent="0.25">
      <c r="A300" s="3" t="s">
        <v>8</v>
      </c>
      <c r="B300" s="3" t="s">
        <v>12</v>
      </c>
      <c r="C300" s="1">
        <v>38134</v>
      </c>
      <c r="D300" s="3">
        <v>10546</v>
      </c>
      <c r="E300" s="9">
        <v>2812</v>
      </c>
    </row>
    <row r="301" spans="1:5" x14ac:dyDescent="0.25">
      <c r="A301" s="3" t="s">
        <v>8</v>
      </c>
      <c r="B301" s="3" t="s">
        <v>10</v>
      </c>
      <c r="C301" s="1">
        <v>38140</v>
      </c>
      <c r="D301" s="3">
        <v>10547</v>
      </c>
      <c r="E301" s="9">
        <v>1792.8</v>
      </c>
    </row>
    <row r="302" spans="1:5" x14ac:dyDescent="0.25">
      <c r="A302" s="3" t="s">
        <v>8</v>
      </c>
      <c r="B302" s="3" t="s">
        <v>10</v>
      </c>
      <c r="C302" s="1">
        <v>38140</v>
      </c>
      <c r="D302" s="3">
        <v>10548</v>
      </c>
      <c r="E302" s="9">
        <v>240.1</v>
      </c>
    </row>
    <row r="303" spans="1:5" x14ac:dyDescent="0.25">
      <c r="A303" s="3" t="s">
        <v>5</v>
      </c>
      <c r="B303" s="3" t="s">
        <v>6</v>
      </c>
      <c r="C303" s="1">
        <v>38137</v>
      </c>
      <c r="D303" s="3">
        <v>10549</v>
      </c>
      <c r="E303" s="9">
        <v>3554.27</v>
      </c>
    </row>
    <row r="304" spans="1:5" x14ac:dyDescent="0.25">
      <c r="A304" s="3" t="s">
        <v>5</v>
      </c>
      <c r="B304" s="3" t="s">
        <v>15</v>
      </c>
      <c r="C304" s="1">
        <v>38144</v>
      </c>
      <c r="D304" s="3">
        <v>10550</v>
      </c>
      <c r="E304" s="9">
        <v>683.3</v>
      </c>
    </row>
    <row r="305" spans="1:5" x14ac:dyDescent="0.25">
      <c r="A305" s="3" t="s">
        <v>8</v>
      </c>
      <c r="B305" s="3" t="s">
        <v>9</v>
      </c>
      <c r="C305" s="1">
        <v>38144</v>
      </c>
      <c r="D305" s="3">
        <v>10551</v>
      </c>
      <c r="E305" s="9">
        <v>1677.3</v>
      </c>
    </row>
    <row r="306" spans="1:5" x14ac:dyDescent="0.25">
      <c r="A306" s="3" t="s">
        <v>8</v>
      </c>
      <c r="B306" s="3" t="s">
        <v>14</v>
      </c>
      <c r="C306" s="1">
        <v>38143</v>
      </c>
      <c r="D306" s="3">
        <v>10552</v>
      </c>
      <c r="E306" s="9">
        <v>880.5</v>
      </c>
    </row>
    <row r="307" spans="1:5" x14ac:dyDescent="0.25">
      <c r="A307" s="3" t="s">
        <v>8</v>
      </c>
      <c r="B307" s="3" t="s">
        <v>14</v>
      </c>
      <c r="C307" s="1">
        <v>38141</v>
      </c>
      <c r="D307" s="3">
        <v>10553</v>
      </c>
      <c r="E307" s="9">
        <v>1546.3</v>
      </c>
    </row>
    <row r="308" spans="1:5" x14ac:dyDescent="0.25">
      <c r="A308" s="3" t="s">
        <v>8</v>
      </c>
      <c r="B308" s="3" t="s">
        <v>9</v>
      </c>
      <c r="C308" s="1">
        <v>38143</v>
      </c>
      <c r="D308" s="3">
        <v>10554</v>
      </c>
      <c r="E308" s="9">
        <v>1728.52</v>
      </c>
    </row>
    <row r="309" spans="1:5" x14ac:dyDescent="0.25">
      <c r="A309" s="3" t="s">
        <v>5</v>
      </c>
      <c r="B309" s="3" t="s">
        <v>7</v>
      </c>
      <c r="C309" s="1">
        <v>38142</v>
      </c>
      <c r="D309" s="3">
        <v>10555</v>
      </c>
      <c r="E309" s="9">
        <v>2944.4</v>
      </c>
    </row>
    <row r="310" spans="1:5" x14ac:dyDescent="0.25">
      <c r="A310" s="3" t="s">
        <v>8</v>
      </c>
      <c r="B310" s="3" t="s">
        <v>14</v>
      </c>
      <c r="C310" s="1">
        <v>38151</v>
      </c>
      <c r="D310" s="3">
        <v>10556</v>
      </c>
      <c r="E310" s="9">
        <v>835.2</v>
      </c>
    </row>
    <row r="311" spans="1:5" x14ac:dyDescent="0.25">
      <c r="A311" s="3" t="s">
        <v>5</v>
      </c>
      <c r="B311" s="3" t="s">
        <v>11</v>
      </c>
      <c r="C311" s="1">
        <v>38144</v>
      </c>
      <c r="D311" s="3">
        <v>10557</v>
      </c>
      <c r="E311" s="9">
        <v>1152.5</v>
      </c>
    </row>
    <row r="312" spans="1:5" x14ac:dyDescent="0.25">
      <c r="A312" s="3" t="s">
        <v>8</v>
      </c>
      <c r="B312" s="3" t="s">
        <v>12</v>
      </c>
      <c r="C312" s="1">
        <v>38148</v>
      </c>
      <c r="D312" s="3">
        <v>10558</v>
      </c>
      <c r="E312" s="9">
        <v>2142.9</v>
      </c>
    </row>
    <row r="313" spans="1:5" x14ac:dyDescent="0.25">
      <c r="A313" s="3" t="s">
        <v>5</v>
      </c>
      <c r="B313" s="3" t="s">
        <v>7</v>
      </c>
      <c r="C313" s="1">
        <v>38151</v>
      </c>
      <c r="D313" s="3">
        <v>10559</v>
      </c>
      <c r="E313" s="9">
        <v>520.41</v>
      </c>
    </row>
    <row r="314" spans="1:5" x14ac:dyDescent="0.25">
      <c r="A314" s="3" t="s">
        <v>8</v>
      </c>
      <c r="B314" s="3" t="s">
        <v>13</v>
      </c>
      <c r="C314" s="1">
        <v>38147</v>
      </c>
      <c r="D314" s="3">
        <v>10560</v>
      </c>
      <c r="E314" s="9">
        <v>1072.42</v>
      </c>
    </row>
    <row r="315" spans="1:5" x14ac:dyDescent="0.25">
      <c r="A315" s="3" t="s">
        <v>8</v>
      </c>
      <c r="B315" s="3" t="s">
        <v>14</v>
      </c>
      <c r="C315" s="1">
        <v>38147</v>
      </c>
      <c r="D315" s="3">
        <v>10561</v>
      </c>
      <c r="E315" s="9">
        <v>2844.5</v>
      </c>
    </row>
    <row r="316" spans="1:5" x14ac:dyDescent="0.25">
      <c r="A316" s="3" t="s">
        <v>8</v>
      </c>
      <c r="B316" s="3" t="s">
        <v>12</v>
      </c>
      <c r="C316" s="1">
        <v>38150</v>
      </c>
      <c r="D316" s="3">
        <v>10562</v>
      </c>
      <c r="E316" s="9">
        <v>488.7</v>
      </c>
    </row>
    <row r="317" spans="1:5" x14ac:dyDescent="0.25">
      <c r="A317" s="3" t="s">
        <v>8</v>
      </c>
      <c r="B317" s="3" t="s">
        <v>14</v>
      </c>
      <c r="C317" s="1">
        <v>38162</v>
      </c>
      <c r="D317" s="3">
        <v>10563</v>
      </c>
      <c r="E317" s="9">
        <v>965</v>
      </c>
    </row>
    <row r="318" spans="1:5" x14ac:dyDescent="0.25">
      <c r="A318" s="3" t="s">
        <v>8</v>
      </c>
      <c r="B318" s="3" t="s">
        <v>9</v>
      </c>
      <c r="C318" s="1">
        <v>38154</v>
      </c>
      <c r="D318" s="3">
        <v>10564</v>
      </c>
      <c r="E318" s="9">
        <v>1234.05</v>
      </c>
    </row>
    <row r="319" spans="1:5" x14ac:dyDescent="0.25">
      <c r="A319" s="3" t="s">
        <v>8</v>
      </c>
      <c r="B319" s="3" t="s">
        <v>13</v>
      </c>
      <c r="C319" s="1">
        <v>38156</v>
      </c>
      <c r="D319" s="3">
        <v>10565</v>
      </c>
      <c r="E319" s="9">
        <v>639.9</v>
      </c>
    </row>
    <row r="320" spans="1:5" x14ac:dyDescent="0.25">
      <c r="A320" s="3" t="s">
        <v>5</v>
      </c>
      <c r="B320" s="3" t="s">
        <v>11</v>
      </c>
      <c r="C320" s="1">
        <v>38156</v>
      </c>
      <c r="D320" s="3">
        <v>10566</v>
      </c>
      <c r="E320" s="9">
        <v>1761</v>
      </c>
    </row>
    <row r="321" spans="1:5" x14ac:dyDescent="0.25">
      <c r="A321" s="3" t="s">
        <v>8</v>
      </c>
      <c r="B321" s="3" t="s">
        <v>12</v>
      </c>
      <c r="C321" s="1">
        <v>38155</v>
      </c>
      <c r="D321" s="3">
        <v>10567</v>
      </c>
      <c r="E321" s="9">
        <v>2519</v>
      </c>
    </row>
    <row r="322" spans="1:5" x14ac:dyDescent="0.25">
      <c r="A322" s="3" t="s">
        <v>8</v>
      </c>
      <c r="B322" s="3" t="s">
        <v>10</v>
      </c>
      <c r="C322" s="1">
        <v>38177</v>
      </c>
      <c r="D322" s="3">
        <v>10568</v>
      </c>
      <c r="E322" s="9">
        <v>155</v>
      </c>
    </row>
    <row r="323" spans="1:5" x14ac:dyDescent="0.25">
      <c r="A323" s="3" t="s">
        <v>5</v>
      </c>
      <c r="B323" s="3" t="s">
        <v>6</v>
      </c>
      <c r="C323" s="1">
        <v>38179</v>
      </c>
      <c r="D323" s="3">
        <v>10569</v>
      </c>
      <c r="E323" s="9">
        <v>890</v>
      </c>
    </row>
    <row r="324" spans="1:5" x14ac:dyDescent="0.25">
      <c r="A324" s="3" t="s">
        <v>8</v>
      </c>
      <c r="B324" s="3" t="s">
        <v>10</v>
      </c>
      <c r="C324" s="1">
        <v>38157</v>
      </c>
      <c r="D324" s="3">
        <v>10570</v>
      </c>
      <c r="E324" s="9">
        <v>2465.25</v>
      </c>
    </row>
    <row r="325" spans="1:5" x14ac:dyDescent="0.25">
      <c r="A325" s="3" t="s">
        <v>8</v>
      </c>
      <c r="B325" s="3" t="s">
        <v>13</v>
      </c>
      <c r="C325" s="1">
        <v>38172</v>
      </c>
      <c r="D325" s="3">
        <v>10571</v>
      </c>
      <c r="E325" s="9">
        <v>550.59</v>
      </c>
    </row>
    <row r="326" spans="1:5" x14ac:dyDescent="0.25">
      <c r="A326" s="3" t="s">
        <v>8</v>
      </c>
      <c r="B326" s="3" t="s">
        <v>10</v>
      </c>
      <c r="C326" s="1">
        <v>38163</v>
      </c>
      <c r="D326" s="3">
        <v>10572</v>
      </c>
      <c r="E326" s="9">
        <v>1501.08</v>
      </c>
    </row>
    <row r="327" spans="1:5" x14ac:dyDescent="0.25">
      <c r="A327" s="3" t="s">
        <v>5</v>
      </c>
      <c r="B327" s="3" t="s">
        <v>15</v>
      </c>
      <c r="C327" s="1">
        <v>38158</v>
      </c>
      <c r="D327" s="3">
        <v>10573</v>
      </c>
      <c r="E327" s="9">
        <v>2082</v>
      </c>
    </row>
    <row r="328" spans="1:5" x14ac:dyDescent="0.25">
      <c r="A328" s="3" t="s">
        <v>8</v>
      </c>
      <c r="B328" s="3" t="s">
        <v>9</v>
      </c>
      <c r="C328" s="1">
        <v>38168</v>
      </c>
      <c r="D328" s="3">
        <v>10574</v>
      </c>
      <c r="E328" s="9">
        <v>764.3</v>
      </c>
    </row>
    <row r="329" spans="1:5" x14ac:dyDescent="0.25">
      <c r="A329" s="3" t="s">
        <v>5</v>
      </c>
      <c r="B329" s="3" t="s">
        <v>6</v>
      </c>
      <c r="C329" s="1">
        <v>38168</v>
      </c>
      <c r="D329" s="3">
        <v>10575</v>
      </c>
      <c r="E329" s="9">
        <v>2147.4</v>
      </c>
    </row>
    <row r="330" spans="1:5" x14ac:dyDescent="0.25">
      <c r="A330" s="3" t="s">
        <v>8</v>
      </c>
      <c r="B330" s="3" t="s">
        <v>10</v>
      </c>
      <c r="C330" s="1">
        <v>38168</v>
      </c>
      <c r="D330" s="3">
        <v>10576</v>
      </c>
      <c r="E330" s="9">
        <v>838.45</v>
      </c>
    </row>
    <row r="331" spans="1:5" x14ac:dyDescent="0.25">
      <c r="A331" s="3" t="s">
        <v>5</v>
      </c>
      <c r="B331" s="3" t="s">
        <v>11</v>
      </c>
      <c r="C331" s="1">
        <v>38168</v>
      </c>
      <c r="D331" s="3">
        <v>10577</v>
      </c>
      <c r="E331" s="9">
        <v>569</v>
      </c>
    </row>
    <row r="332" spans="1:5" x14ac:dyDescent="0.25">
      <c r="A332" s="3" t="s">
        <v>8</v>
      </c>
      <c r="B332" s="3" t="s">
        <v>9</v>
      </c>
      <c r="C332" s="1">
        <v>38193</v>
      </c>
      <c r="D332" s="3">
        <v>10578</v>
      </c>
      <c r="E332" s="9">
        <v>477</v>
      </c>
    </row>
    <row r="333" spans="1:5" x14ac:dyDescent="0.25">
      <c r="A333" s="3" t="s">
        <v>8</v>
      </c>
      <c r="B333" s="3" t="s">
        <v>12</v>
      </c>
      <c r="C333" s="1">
        <v>38172</v>
      </c>
      <c r="D333" s="3">
        <v>10579</v>
      </c>
      <c r="E333" s="9">
        <v>317.75</v>
      </c>
    </row>
    <row r="334" spans="1:5" x14ac:dyDescent="0.25">
      <c r="A334" s="3" t="s">
        <v>8</v>
      </c>
      <c r="B334" s="3" t="s">
        <v>9</v>
      </c>
      <c r="C334" s="1">
        <v>38169</v>
      </c>
      <c r="D334" s="3">
        <v>10580</v>
      </c>
      <c r="E334" s="9">
        <v>1013.74</v>
      </c>
    </row>
    <row r="335" spans="1:5" x14ac:dyDescent="0.25">
      <c r="A335" s="3" t="s">
        <v>8</v>
      </c>
      <c r="B335" s="3" t="s">
        <v>10</v>
      </c>
      <c r="C335" s="1">
        <v>38170</v>
      </c>
      <c r="D335" s="3">
        <v>10581</v>
      </c>
      <c r="E335" s="9">
        <v>310</v>
      </c>
    </row>
    <row r="336" spans="1:5" x14ac:dyDescent="0.25">
      <c r="A336" s="3" t="s">
        <v>8</v>
      </c>
      <c r="B336" s="3" t="s">
        <v>10</v>
      </c>
      <c r="C336" s="1">
        <v>38182</v>
      </c>
      <c r="D336" s="3">
        <v>10582</v>
      </c>
      <c r="E336" s="9">
        <v>330</v>
      </c>
    </row>
    <row r="337" spans="1:5" x14ac:dyDescent="0.25">
      <c r="A337" s="3" t="s">
        <v>8</v>
      </c>
      <c r="B337" s="3" t="s">
        <v>14</v>
      </c>
      <c r="C337" s="1">
        <v>38172</v>
      </c>
      <c r="D337" s="3">
        <v>10583</v>
      </c>
      <c r="E337" s="9">
        <v>2237.5</v>
      </c>
    </row>
    <row r="338" spans="1:5" x14ac:dyDescent="0.25">
      <c r="A338" s="3" t="s">
        <v>8</v>
      </c>
      <c r="B338" s="3" t="s">
        <v>9</v>
      </c>
      <c r="C338" s="1">
        <v>38172</v>
      </c>
      <c r="D338" s="3">
        <v>10584</v>
      </c>
      <c r="E338" s="9">
        <v>593.75</v>
      </c>
    </row>
    <row r="339" spans="1:5" x14ac:dyDescent="0.25">
      <c r="A339" s="3" t="s">
        <v>5</v>
      </c>
      <c r="B339" s="3" t="s">
        <v>15</v>
      </c>
      <c r="C339" s="1">
        <v>38178</v>
      </c>
      <c r="D339" s="3">
        <v>10585</v>
      </c>
      <c r="E339" s="9">
        <v>142.5</v>
      </c>
    </row>
    <row r="340" spans="1:5" x14ac:dyDescent="0.25">
      <c r="A340" s="3" t="s">
        <v>5</v>
      </c>
      <c r="B340" s="3" t="s">
        <v>11</v>
      </c>
      <c r="C340" s="1">
        <v>38177</v>
      </c>
      <c r="D340" s="3">
        <v>10586</v>
      </c>
      <c r="E340" s="9">
        <v>23.8</v>
      </c>
    </row>
    <row r="341" spans="1:5" x14ac:dyDescent="0.25">
      <c r="A341" s="3" t="s">
        <v>8</v>
      </c>
      <c r="B341" s="3" t="s">
        <v>12</v>
      </c>
      <c r="C341" s="1">
        <v>38177</v>
      </c>
      <c r="D341" s="3">
        <v>10587</v>
      </c>
      <c r="E341" s="9">
        <v>807.38</v>
      </c>
    </row>
    <row r="342" spans="1:5" x14ac:dyDescent="0.25">
      <c r="A342" s="3" t="s">
        <v>8</v>
      </c>
      <c r="B342" s="3" t="s">
        <v>14</v>
      </c>
      <c r="C342" s="1">
        <v>38178</v>
      </c>
      <c r="D342" s="3">
        <v>10588</v>
      </c>
      <c r="E342" s="9">
        <v>3120</v>
      </c>
    </row>
    <row r="343" spans="1:5" x14ac:dyDescent="0.25">
      <c r="A343" s="3" t="s">
        <v>8</v>
      </c>
      <c r="B343" s="3" t="s">
        <v>13</v>
      </c>
      <c r="C343" s="1">
        <v>38182</v>
      </c>
      <c r="D343" s="3">
        <v>10589</v>
      </c>
      <c r="E343" s="9">
        <v>72</v>
      </c>
    </row>
    <row r="344" spans="1:5" x14ac:dyDescent="0.25">
      <c r="A344" s="3" t="s">
        <v>8</v>
      </c>
      <c r="B344" s="3" t="s">
        <v>9</v>
      </c>
      <c r="C344" s="1">
        <v>38182</v>
      </c>
      <c r="D344" s="3">
        <v>10590</v>
      </c>
      <c r="E344" s="9">
        <v>1101</v>
      </c>
    </row>
    <row r="345" spans="1:5" x14ac:dyDescent="0.25">
      <c r="A345" s="3" t="s">
        <v>8</v>
      </c>
      <c r="B345" s="3" t="s">
        <v>12</v>
      </c>
      <c r="C345" s="1">
        <v>38184</v>
      </c>
      <c r="D345" s="3">
        <v>10591</v>
      </c>
      <c r="E345" s="9">
        <v>812.5</v>
      </c>
    </row>
    <row r="346" spans="1:5" x14ac:dyDescent="0.25">
      <c r="A346" s="3" t="s">
        <v>8</v>
      </c>
      <c r="B346" s="3" t="s">
        <v>10</v>
      </c>
      <c r="C346" s="1">
        <v>38184</v>
      </c>
      <c r="D346" s="3">
        <v>10592</v>
      </c>
      <c r="E346" s="9">
        <v>516.46</v>
      </c>
    </row>
    <row r="347" spans="1:5" x14ac:dyDescent="0.25">
      <c r="A347" s="3" t="s">
        <v>5</v>
      </c>
      <c r="B347" s="3" t="s">
        <v>15</v>
      </c>
      <c r="C347" s="1">
        <v>38212</v>
      </c>
      <c r="D347" s="3">
        <v>10593</v>
      </c>
      <c r="E347" s="9">
        <v>1994.4</v>
      </c>
    </row>
    <row r="348" spans="1:5" x14ac:dyDescent="0.25">
      <c r="A348" s="3" t="s">
        <v>8</v>
      </c>
      <c r="B348" s="3" t="s">
        <v>10</v>
      </c>
      <c r="C348" s="1">
        <v>38184</v>
      </c>
      <c r="D348" s="3">
        <v>10594</v>
      </c>
      <c r="E348" s="9">
        <v>565.5</v>
      </c>
    </row>
    <row r="349" spans="1:5" x14ac:dyDescent="0.25">
      <c r="A349" s="3" t="s">
        <v>8</v>
      </c>
      <c r="B349" s="3" t="s">
        <v>14</v>
      </c>
      <c r="C349" s="1">
        <v>38182</v>
      </c>
      <c r="D349" s="3">
        <v>10595</v>
      </c>
      <c r="E349" s="9">
        <v>4725</v>
      </c>
    </row>
    <row r="350" spans="1:5" x14ac:dyDescent="0.25">
      <c r="A350" s="3" t="s">
        <v>8</v>
      </c>
      <c r="B350" s="3" t="s">
        <v>13</v>
      </c>
      <c r="C350" s="1">
        <v>38211</v>
      </c>
      <c r="D350" s="3">
        <v>10596</v>
      </c>
      <c r="E350" s="9">
        <v>1180.8800000000001</v>
      </c>
    </row>
    <row r="351" spans="1:5" x14ac:dyDescent="0.25">
      <c r="A351" s="3" t="s">
        <v>5</v>
      </c>
      <c r="B351" s="3" t="s">
        <v>15</v>
      </c>
      <c r="C351" s="1">
        <v>38186</v>
      </c>
      <c r="D351" s="3">
        <v>10597</v>
      </c>
      <c r="E351" s="9">
        <v>718.08</v>
      </c>
    </row>
    <row r="352" spans="1:5" x14ac:dyDescent="0.25">
      <c r="A352" s="3" t="s">
        <v>8</v>
      </c>
      <c r="B352" s="3" t="s">
        <v>12</v>
      </c>
      <c r="C352" s="1">
        <v>38186</v>
      </c>
      <c r="D352" s="3">
        <v>10598</v>
      </c>
      <c r="E352" s="9">
        <v>2388.5</v>
      </c>
    </row>
    <row r="353" spans="1:5" x14ac:dyDescent="0.25">
      <c r="A353" s="3" t="s">
        <v>5</v>
      </c>
      <c r="B353" s="3" t="s">
        <v>7</v>
      </c>
      <c r="C353" s="1">
        <v>38189</v>
      </c>
      <c r="D353" s="3">
        <v>10599</v>
      </c>
      <c r="E353" s="9">
        <v>493</v>
      </c>
    </row>
    <row r="354" spans="1:5" x14ac:dyDescent="0.25">
      <c r="A354" s="3" t="s">
        <v>8</v>
      </c>
      <c r="B354" s="3" t="s">
        <v>9</v>
      </c>
      <c r="C354" s="1">
        <v>38189</v>
      </c>
      <c r="D354" s="3">
        <v>10600</v>
      </c>
      <c r="E354" s="9">
        <v>479.8</v>
      </c>
    </row>
    <row r="355" spans="1:5" x14ac:dyDescent="0.25">
      <c r="A355" s="3" t="s">
        <v>5</v>
      </c>
      <c r="B355" s="3" t="s">
        <v>15</v>
      </c>
      <c r="C355" s="1">
        <v>38190</v>
      </c>
      <c r="D355" s="3">
        <v>10601</v>
      </c>
      <c r="E355" s="9">
        <v>2285</v>
      </c>
    </row>
    <row r="356" spans="1:5" x14ac:dyDescent="0.25">
      <c r="A356" s="3" t="s">
        <v>8</v>
      </c>
      <c r="B356" s="3" t="s">
        <v>13</v>
      </c>
      <c r="C356" s="1">
        <v>38190</v>
      </c>
      <c r="D356" s="3">
        <v>10602</v>
      </c>
      <c r="E356" s="9">
        <v>48.75</v>
      </c>
    </row>
    <row r="357" spans="1:5" x14ac:dyDescent="0.25">
      <c r="A357" s="3" t="s">
        <v>8</v>
      </c>
      <c r="B357" s="3" t="s">
        <v>13</v>
      </c>
      <c r="C357" s="1">
        <v>38207</v>
      </c>
      <c r="D357" s="3">
        <v>10603</v>
      </c>
      <c r="E357" s="9">
        <v>1483</v>
      </c>
    </row>
    <row r="358" spans="1:5" x14ac:dyDescent="0.25">
      <c r="A358" s="3" t="s">
        <v>8</v>
      </c>
      <c r="B358" s="3" t="s">
        <v>12</v>
      </c>
      <c r="C358" s="1">
        <v>38197</v>
      </c>
      <c r="D358" s="3">
        <v>10604</v>
      </c>
      <c r="E358" s="9">
        <v>230.85</v>
      </c>
    </row>
    <row r="359" spans="1:5" x14ac:dyDescent="0.25">
      <c r="A359" s="3" t="s">
        <v>8</v>
      </c>
      <c r="B359" s="3" t="s">
        <v>12</v>
      </c>
      <c r="C359" s="1">
        <v>38197</v>
      </c>
      <c r="D359" s="3">
        <v>10605</v>
      </c>
      <c r="E359" s="9">
        <v>4109.6899999999996</v>
      </c>
    </row>
    <row r="360" spans="1:5" x14ac:dyDescent="0.25">
      <c r="A360" s="3" t="s">
        <v>8</v>
      </c>
      <c r="B360" s="3" t="s">
        <v>9</v>
      </c>
      <c r="C360" s="1">
        <v>38199</v>
      </c>
      <c r="D360" s="3">
        <v>10606</v>
      </c>
      <c r="E360" s="9">
        <v>1130.4000000000001</v>
      </c>
    </row>
    <row r="361" spans="1:5" x14ac:dyDescent="0.25">
      <c r="A361" s="3" t="s">
        <v>5</v>
      </c>
      <c r="B361" s="3" t="s">
        <v>6</v>
      </c>
      <c r="C361" s="1">
        <v>38193</v>
      </c>
      <c r="D361" s="3">
        <v>10607</v>
      </c>
      <c r="E361" s="9">
        <v>6475.4</v>
      </c>
    </row>
    <row r="362" spans="1:5" x14ac:dyDescent="0.25">
      <c r="A362" s="3" t="s">
        <v>8</v>
      </c>
      <c r="B362" s="3" t="s">
        <v>9</v>
      </c>
      <c r="C362" s="1">
        <v>38200</v>
      </c>
      <c r="D362" s="3">
        <v>10608</v>
      </c>
      <c r="E362" s="9">
        <v>1064</v>
      </c>
    </row>
    <row r="363" spans="1:5" x14ac:dyDescent="0.25">
      <c r="A363" s="3" t="s">
        <v>5</v>
      </c>
      <c r="B363" s="3" t="s">
        <v>15</v>
      </c>
      <c r="C363" s="1">
        <v>38198</v>
      </c>
      <c r="D363" s="3">
        <v>10609</v>
      </c>
      <c r="E363" s="9">
        <v>424</v>
      </c>
    </row>
    <row r="364" spans="1:5" x14ac:dyDescent="0.25">
      <c r="A364" s="3" t="s">
        <v>8</v>
      </c>
      <c r="B364" s="3" t="s">
        <v>13</v>
      </c>
      <c r="C364" s="1">
        <v>38205</v>
      </c>
      <c r="D364" s="3">
        <v>10610</v>
      </c>
      <c r="E364" s="9">
        <v>299.25</v>
      </c>
    </row>
    <row r="365" spans="1:5" x14ac:dyDescent="0.25">
      <c r="A365" s="3" t="s">
        <v>5</v>
      </c>
      <c r="B365" s="3" t="s">
        <v>7</v>
      </c>
      <c r="C365" s="1">
        <v>38200</v>
      </c>
      <c r="D365" s="3">
        <v>10611</v>
      </c>
      <c r="E365" s="9">
        <v>808</v>
      </c>
    </row>
    <row r="366" spans="1:5" x14ac:dyDescent="0.25">
      <c r="A366" s="3" t="s">
        <v>8</v>
      </c>
      <c r="B366" s="3" t="s">
        <v>12</v>
      </c>
      <c r="C366" s="1">
        <v>38200</v>
      </c>
      <c r="D366" s="3">
        <v>10612</v>
      </c>
      <c r="E366" s="9">
        <v>6375</v>
      </c>
    </row>
    <row r="367" spans="1:5" x14ac:dyDescent="0.25">
      <c r="A367" s="3" t="s">
        <v>8</v>
      </c>
      <c r="B367" s="3" t="s">
        <v>9</v>
      </c>
      <c r="C367" s="1">
        <v>38200</v>
      </c>
      <c r="D367" s="3">
        <v>10613</v>
      </c>
      <c r="E367" s="9">
        <v>353.2</v>
      </c>
    </row>
    <row r="368" spans="1:5" x14ac:dyDescent="0.25">
      <c r="A368" s="3" t="s">
        <v>8</v>
      </c>
      <c r="B368" s="3" t="s">
        <v>13</v>
      </c>
      <c r="C368" s="1">
        <v>38200</v>
      </c>
      <c r="D368" s="3">
        <v>10614</v>
      </c>
      <c r="E368" s="9">
        <v>464</v>
      </c>
    </row>
    <row r="369" spans="1:5" x14ac:dyDescent="0.25">
      <c r="A369" s="3" t="s">
        <v>8</v>
      </c>
      <c r="B369" s="3" t="s">
        <v>14</v>
      </c>
      <c r="C369" s="1">
        <v>38205</v>
      </c>
      <c r="D369" s="3">
        <v>10615</v>
      </c>
      <c r="E369" s="9">
        <v>120</v>
      </c>
    </row>
    <row r="370" spans="1:5" x14ac:dyDescent="0.25">
      <c r="A370" s="3" t="s">
        <v>8</v>
      </c>
      <c r="B370" s="3" t="s">
        <v>12</v>
      </c>
      <c r="C370" s="1">
        <v>38204</v>
      </c>
      <c r="D370" s="3">
        <v>10616</v>
      </c>
      <c r="E370" s="9">
        <v>4806.99</v>
      </c>
    </row>
    <row r="371" spans="1:5" x14ac:dyDescent="0.25">
      <c r="A371" s="3" t="s">
        <v>8</v>
      </c>
      <c r="B371" s="3" t="s">
        <v>9</v>
      </c>
      <c r="C371" s="1">
        <v>38203</v>
      </c>
      <c r="D371" s="3">
        <v>10617</v>
      </c>
      <c r="E371" s="9">
        <v>1402.5</v>
      </c>
    </row>
    <row r="372" spans="1:5" x14ac:dyDescent="0.25">
      <c r="A372" s="3" t="s">
        <v>8</v>
      </c>
      <c r="B372" s="3" t="s">
        <v>12</v>
      </c>
      <c r="C372" s="1">
        <v>38207</v>
      </c>
      <c r="D372" s="3">
        <v>10618</v>
      </c>
      <c r="E372" s="9">
        <v>2697.5</v>
      </c>
    </row>
    <row r="373" spans="1:5" x14ac:dyDescent="0.25">
      <c r="A373" s="3" t="s">
        <v>8</v>
      </c>
      <c r="B373" s="3" t="s">
        <v>10</v>
      </c>
      <c r="C373" s="1">
        <v>38206</v>
      </c>
      <c r="D373" s="3">
        <v>10619</v>
      </c>
      <c r="E373" s="9">
        <v>1260</v>
      </c>
    </row>
    <row r="374" spans="1:5" x14ac:dyDescent="0.25">
      <c r="A374" s="3" t="s">
        <v>8</v>
      </c>
      <c r="B374" s="3" t="s">
        <v>14</v>
      </c>
      <c r="C374" s="1">
        <v>38213</v>
      </c>
      <c r="D374" s="3">
        <v>10620</v>
      </c>
      <c r="E374" s="9">
        <v>57.5</v>
      </c>
    </row>
    <row r="375" spans="1:5" x14ac:dyDescent="0.25">
      <c r="A375" s="3" t="s">
        <v>8</v>
      </c>
      <c r="B375" s="3" t="s">
        <v>9</v>
      </c>
      <c r="C375" s="1">
        <v>38210</v>
      </c>
      <c r="D375" s="3">
        <v>10621</v>
      </c>
      <c r="E375" s="9">
        <v>758.5</v>
      </c>
    </row>
    <row r="376" spans="1:5" x14ac:dyDescent="0.25">
      <c r="A376" s="3" t="s">
        <v>8</v>
      </c>
      <c r="B376" s="3" t="s">
        <v>9</v>
      </c>
      <c r="C376" s="1">
        <v>38210</v>
      </c>
      <c r="D376" s="3">
        <v>10622</v>
      </c>
      <c r="E376" s="9">
        <v>560</v>
      </c>
    </row>
    <row r="377" spans="1:5" x14ac:dyDescent="0.25">
      <c r="A377" s="3" t="s">
        <v>8</v>
      </c>
      <c r="B377" s="3" t="s">
        <v>13</v>
      </c>
      <c r="C377" s="1">
        <v>38211</v>
      </c>
      <c r="D377" s="3">
        <v>10623</v>
      </c>
      <c r="E377" s="9">
        <v>1336.95</v>
      </c>
    </row>
    <row r="378" spans="1:5" x14ac:dyDescent="0.25">
      <c r="A378" s="3" t="s">
        <v>8</v>
      </c>
      <c r="B378" s="3" t="s">
        <v>9</v>
      </c>
      <c r="C378" s="1">
        <v>38218</v>
      </c>
      <c r="D378" s="3">
        <v>10624</v>
      </c>
      <c r="E378" s="9">
        <v>1393.24</v>
      </c>
    </row>
    <row r="379" spans="1:5" x14ac:dyDescent="0.25">
      <c r="A379" s="3" t="s">
        <v>8</v>
      </c>
      <c r="B379" s="3" t="s">
        <v>10</v>
      </c>
      <c r="C379" s="1">
        <v>38213</v>
      </c>
      <c r="D379" s="3">
        <v>10625</v>
      </c>
      <c r="E379" s="9">
        <v>479.75</v>
      </c>
    </row>
    <row r="380" spans="1:5" x14ac:dyDescent="0.25">
      <c r="A380" s="3" t="s">
        <v>8</v>
      </c>
      <c r="B380" s="3" t="s">
        <v>12</v>
      </c>
      <c r="C380" s="1">
        <v>38219</v>
      </c>
      <c r="D380" s="3">
        <v>10626</v>
      </c>
      <c r="E380" s="9">
        <v>1503.6</v>
      </c>
    </row>
    <row r="381" spans="1:5" x14ac:dyDescent="0.25">
      <c r="A381" s="3" t="s">
        <v>8</v>
      </c>
      <c r="B381" s="3" t="s">
        <v>13</v>
      </c>
      <c r="C381" s="1">
        <v>38220</v>
      </c>
      <c r="D381" s="3">
        <v>10627</v>
      </c>
      <c r="E381" s="9">
        <v>1185.75</v>
      </c>
    </row>
    <row r="382" spans="1:5" x14ac:dyDescent="0.25">
      <c r="A382" s="3" t="s">
        <v>8</v>
      </c>
      <c r="B382" s="3" t="s">
        <v>9</v>
      </c>
      <c r="C382" s="1">
        <v>38219</v>
      </c>
      <c r="D382" s="3">
        <v>10628</v>
      </c>
      <c r="E382" s="9">
        <v>450</v>
      </c>
    </row>
    <row r="383" spans="1:5" x14ac:dyDescent="0.25">
      <c r="A383" s="3" t="s">
        <v>8</v>
      </c>
      <c r="B383" s="3" t="s">
        <v>9</v>
      </c>
      <c r="C383" s="1">
        <v>38219</v>
      </c>
      <c r="D383" s="3">
        <v>10629</v>
      </c>
      <c r="E383" s="9">
        <v>2775.05</v>
      </c>
    </row>
    <row r="384" spans="1:5" x14ac:dyDescent="0.25">
      <c r="A384" s="3" t="s">
        <v>8</v>
      </c>
      <c r="B384" s="3" t="s">
        <v>12</v>
      </c>
      <c r="C384" s="1">
        <v>38218</v>
      </c>
      <c r="D384" s="3">
        <v>10630</v>
      </c>
      <c r="E384" s="9">
        <v>903.6</v>
      </c>
    </row>
    <row r="385" spans="1:5" x14ac:dyDescent="0.25">
      <c r="A385" s="3" t="s">
        <v>8</v>
      </c>
      <c r="B385" s="3" t="s">
        <v>13</v>
      </c>
      <c r="C385" s="1">
        <v>38214</v>
      </c>
      <c r="D385" s="3">
        <v>10631</v>
      </c>
      <c r="E385" s="9">
        <v>55.8</v>
      </c>
    </row>
    <row r="386" spans="1:5" x14ac:dyDescent="0.25">
      <c r="A386" s="3" t="s">
        <v>8</v>
      </c>
      <c r="B386" s="3" t="s">
        <v>13</v>
      </c>
      <c r="C386" s="1">
        <v>38218</v>
      </c>
      <c r="D386" s="3">
        <v>10632</v>
      </c>
      <c r="E386" s="9">
        <v>589</v>
      </c>
    </row>
    <row r="387" spans="1:5" x14ac:dyDescent="0.25">
      <c r="A387" s="3" t="s">
        <v>5</v>
      </c>
      <c r="B387" s="3" t="s">
        <v>15</v>
      </c>
      <c r="C387" s="1">
        <v>38217</v>
      </c>
      <c r="D387" s="3">
        <v>10633</v>
      </c>
      <c r="E387" s="9">
        <v>5510.59</v>
      </c>
    </row>
    <row r="388" spans="1:5" x14ac:dyDescent="0.25">
      <c r="A388" s="3" t="s">
        <v>8</v>
      </c>
      <c r="B388" s="3" t="s">
        <v>9</v>
      </c>
      <c r="C388" s="1">
        <v>38220</v>
      </c>
      <c r="D388" s="3">
        <v>10634</v>
      </c>
      <c r="E388" s="9">
        <v>4985.5</v>
      </c>
    </row>
    <row r="389" spans="1:5" x14ac:dyDescent="0.25">
      <c r="A389" s="3" t="s">
        <v>8</v>
      </c>
      <c r="B389" s="3" t="s">
        <v>13</v>
      </c>
      <c r="C389" s="1">
        <v>38220</v>
      </c>
      <c r="D389" s="3">
        <v>10635</v>
      </c>
      <c r="E389" s="9">
        <v>1326.22</v>
      </c>
    </row>
    <row r="390" spans="1:5" x14ac:dyDescent="0.25">
      <c r="A390" s="3" t="s">
        <v>8</v>
      </c>
      <c r="B390" s="3" t="s">
        <v>9</v>
      </c>
      <c r="C390" s="1">
        <v>38225</v>
      </c>
      <c r="D390" s="3">
        <v>10636</v>
      </c>
      <c r="E390" s="9">
        <v>629.5</v>
      </c>
    </row>
    <row r="391" spans="1:5" x14ac:dyDescent="0.25">
      <c r="A391" s="3" t="s">
        <v>5</v>
      </c>
      <c r="B391" s="3" t="s">
        <v>7</v>
      </c>
      <c r="C391" s="1">
        <v>38225</v>
      </c>
      <c r="D391" s="3">
        <v>10637</v>
      </c>
      <c r="E391" s="9">
        <v>2761.94</v>
      </c>
    </row>
    <row r="392" spans="1:5" x14ac:dyDescent="0.25">
      <c r="A392" s="3" t="s">
        <v>8</v>
      </c>
      <c r="B392" s="3" t="s">
        <v>10</v>
      </c>
      <c r="C392" s="1">
        <v>38231</v>
      </c>
      <c r="D392" s="3">
        <v>10638</v>
      </c>
      <c r="E392" s="9">
        <v>2720.05</v>
      </c>
    </row>
    <row r="393" spans="1:5" x14ac:dyDescent="0.25">
      <c r="A393" s="3" t="s">
        <v>5</v>
      </c>
      <c r="B393" s="3" t="s">
        <v>15</v>
      </c>
      <c r="C393" s="1">
        <v>38226</v>
      </c>
      <c r="D393" s="3">
        <v>10639</v>
      </c>
      <c r="E393" s="9">
        <v>500</v>
      </c>
    </row>
    <row r="394" spans="1:5" x14ac:dyDescent="0.25">
      <c r="A394" s="3" t="s">
        <v>8</v>
      </c>
      <c r="B394" s="3" t="s">
        <v>9</v>
      </c>
      <c r="C394" s="1">
        <v>38227</v>
      </c>
      <c r="D394" s="3">
        <v>10640</v>
      </c>
      <c r="E394" s="9">
        <v>708.75</v>
      </c>
    </row>
    <row r="395" spans="1:5" x14ac:dyDescent="0.25">
      <c r="A395" s="3" t="s">
        <v>8</v>
      </c>
      <c r="B395" s="3" t="s">
        <v>9</v>
      </c>
      <c r="C395" s="1">
        <v>38225</v>
      </c>
      <c r="D395" s="3">
        <v>10641</v>
      </c>
      <c r="E395" s="9">
        <v>2054</v>
      </c>
    </row>
    <row r="396" spans="1:5" x14ac:dyDescent="0.25">
      <c r="A396" s="3" t="s">
        <v>5</v>
      </c>
      <c r="B396" s="3" t="s">
        <v>15</v>
      </c>
      <c r="C396" s="1">
        <v>38235</v>
      </c>
      <c r="D396" s="3">
        <v>10642</v>
      </c>
      <c r="E396" s="9">
        <v>696</v>
      </c>
    </row>
    <row r="397" spans="1:5" x14ac:dyDescent="0.25">
      <c r="A397" s="3" t="s">
        <v>5</v>
      </c>
      <c r="B397" s="3" t="s">
        <v>7</v>
      </c>
      <c r="C397" s="1">
        <v>38232</v>
      </c>
      <c r="D397" s="3">
        <v>10643</v>
      </c>
      <c r="E397" s="9">
        <v>814.5</v>
      </c>
    </row>
    <row r="398" spans="1:5" x14ac:dyDescent="0.25">
      <c r="A398" s="3" t="s">
        <v>8</v>
      </c>
      <c r="B398" s="3" t="s">
        <v>10</v>
      </c>
      <c r="C398" s="1">
        <v>38231</v>
      </c>
      <c r="D398" s="3">
        <v>10644</v>
      </c>
      <c r="E398" s="9">
        <v>1371.8</v>
      </c>
    </row>
    <row r="399" spans="1:5" x14ac:dyDescent="0.25">
      <c r="A399" s="3" t="s">
        <v>8</v>
      </c>
      <c r="B399" s="3" t="s">
        <v>9</v>
      </c>
      <c r="C399" s="1">
        <v>38232</v>
      </c>
      <c r="D399" s="3">
        <v>10645</v>
      </c>
      <c r="E399" s="9">
        <v>1535</v>
      </c>
    </row>
    <row r="400" spans="1:5" x14ac:dyDescent="0.25">
      <c r="A400" s="3" t="s">
        <v>5</v>
      </c>
      <c r="B400" s="3" t="s">
        <v>11</v>
      </c>
      <c r="C400" s="1">
        <v>38233</v>
      </c>
      <c r="D400" s="3">
        <v>10646</v>
      </c>
      <c r="E400" s="9">
        <v>1446</v>
      </c>
    </row>
    <row r="401" spans="1:5" x14ac:dyDescent="0.25">
      <c r="A401" s="3" t="s">
        <v>8</v>
      </c>
      <c r="B401" s="3" t="s">
        <v>9</v>
      </c>
      <c r="C401" s="1">
        <v>38233</v>
      </c>
      <c r="D401" s="3">
        <v>10647</v>
      </c>
      <c r="E401" s="9">
        <v>636</v>
      </c>
    </row>
    <row r="402" spans="1:5" x14ac:dyDescent="0.25">
      <c r="A402" s="3" t="s">
        <v>5</v>
      </c>
      <c r="B402" s="3" t="s">
        <v>6</v>
      </c>
      <c r="C402" s="1">
        <v>38239</v>
      </c>
      <c r="D402" s="3">
        <v>10648</v>
      </c>
      <c r="E402" s="9">
        <v>372.37</v>
      </c>
    </row>
    <row r="403" spans="1:5" x14ac:dyDescent="0.25">
      <c r="A403" s="3" t="s">
        <v>5</v>
      </c>
      <c r="B403" s="3" t="s">
        <v>6</v>
      </c>
      <c r="C403" s="1">
        <v>38228</v>
      </c>
      <c r="D403" s="3">
        <v>10649</v>
      </c>
      <c r="E403" s="9">
        <v>1434</v>
      </c>
    </row>
    <row r="404" spans="1:5" x14ac:dyDescent="0.25">
      <c r="A404" s="3" t="s">
        <v>5</v>
      </c>
      <c r="B404" s="3" t="s">
        <v>6</v>
      </c>
      <c r="C404" s="1">
        <v>38233</v>
      </c>
      <c r="D404" s="3">
        <v>10650</v>
      </c>
      <c r="E404" s="9">
        <v>1779.2</v>
      </c>
    </row>
    <row r="405" spans="1:5" x14ac:dyDescent="0.25">
      <c r="A405" s="3" t="s">
        <v>8</v>
      </c>
      <c r="B405" s="3" t="s">
        <v>13</v>
      </c>
      <c r="C405" s="1">
        <v>38241</v>
      </c>
      <c r="D405" s="3">
        <v>10651</v>
      </c>
      <c r="E405" s="9">
        <v>397.8</v>
      </c>
    </row>
    <row r="406" spans="1:5" x14ac:dyDescent="0.25">
      <c r="A406" s="3" t="s">
        <v>8</v>
      </c>
      <c r="B406" s="3" t="s">
        <v>9</v>
      </c>
      <c r="C406" s="1">
        <v>38238</v>
      </c>
      <c r="D406" s="3">
        <v>10652</v>
      </c>
      <c r="E406" s="9">
        <v>318.83999999999997</v>
      </c>
    </row>
    <row r="407" spans="1:5" x14ac:dyDescent="0.25">
      <c r="A407" s="3" t="s">
        <v>8</v>
      </c>
      <c r="B407" s="3" t="s">
        <v>12</v>
      </c>
      <c r="C407" s="1">
        <v>38249</v>
      </c>
      <c r="D407" s="3">
        <v>10653</v>
      </c>
      <c r="E407" s="9">
        <v>1083.1500000000001</v>
      </c>
    </row>
    <row r="408" spans="1:5" x14ac:dyDescent="0.25">
      <c r="A408" s="3" t="s">
        <v>5</v>
      </c>
      <c r="B408" s="3" t="s">
        <v>6</v>
      </c>
      <c r="C408" s="1">
        <v>38241</v>
      </c>
      <c r="D408" s="3">
        <v>10654</v>
      </c>
      <c r="E408" s="9">
        <v>601.83000000000004</v>
      </c>
    </row>
    <row r="409" spans="1:5" x14ac:dyDescent="0.25">
      <c r="A409" s="3" t="s">
        <v>8</v>
      </c>
      <c r="B409" s="3" t="s">
        <v>12</v>
      </c>
      <c r="C409" s="1">
        <v>38241</v>
      </c>
      <c r="D409" s="3">
        <v>10655</v>
      </c>
      <c r="E409" s="9">
        <v>154.4</v>
      </c>
    </row>
    <row r="410" spans="1:5" x14ac:dyDescent="0.25">
      <c r="A410" s="3" t="s">
        <v>5</v>
      </c>
      <c r="B410" s="3" t="s">
        <v>7</v>
      </c>
      <c r="C410" s="1">
        <v>38240</v>
      </c>
      <c r="D410" s="3">
        <v>10656</v>
      </c>
      <c r="E410" s="9">
        <v>604.21</v>
      </c>
    </row>
    <row r="411" spans="1:5" x14ac:dyDescent="0.25">
      <c r="A411" s="3" t="s">
        <v>8</v>
      </c>
      <c r="B411" s="3" t="s">
        <v>14</v>
      </c>
      <c r="C411" s="1">
        <v>38245</v>
      </c>
      <c r="D411" s="3">
        <v>10657</v>
      </c>
      <c r="E411" s="9">
        <v>4371.6000000000004</v>
      </c>
    </row>
    <row r="412" spans="1:5" x14ac:dyDescent="0.25">
      <c r="A412" s="3" t="s">
        <v>8</v>
      </c>
      <c r="B412" s="3" t="s">
        <v>9</v>
      </c>
      <c r="C412" s="1">
        <v>38238</v>
      </c>
      <c r="D412" s="3">
        <v>10658</v>
      </c>
      <c r="E412" s="9">
        <v>4464.6000000000004</v>
      </c>
    </row>
    <row r="413" spans="1:5" x14ac:dyDescent="0.25">
      <c r="A413" s="3" t="s">
        <v>5</v>
      </c>
      <c r="B413" s="3" t="s">
        <v>15</v>
      </c>
      <c r="C413" s="1">
        <v>38240</v>
      </c>
      <c r="D413" s="3">
        <v>10659</v>
      </c>
      <c r="E413" s="9">
        <v>1227.02</v>
      </c>
    </row>
    <row r="414" spans="1:5" x14ac:dyDescent="0.25">
      <c r="A414" s="3" t="s">
        <v>8</v>
      </c>
      <c r="B414" s="3" t="s">
        <v>13</v>
      </c>
      <c r="C414" s="1">
        <v>38275</v>
      </c>
      <c r="D414" s="3">
        <v>10660</v>
      </c>
      <c r="E414" s="9">
        <v>1701</v>
      </c>
    </row>
    <row r="415" spans="1:5" x14ac:dyDescent="0.25">
      <c r="A415" s="3" t="s">
        <v>5</v>
      </c>
      <c r="B415" s="3" t="s">
        <v>15</v>
      </c>
      <c r="C415" s="1">
        <v>38245</v>
      </c>
      <c r="D415" s="3">
        <v>10661</v>
      </c>
      <c r="E415" s="9">
        <v>562.6</v>
      </c>
    </row>
    <row r="416" spans="1:5" x14ac:dyDescent="0.25">
      <c r="A416" s="3" t="s">
        <v>8</v>
      </c>
      <c r="B416" s="3" t="s">
        <v>10</v>
      </c>
      <c r="C416" s="1">
        <v>38248</v>
      </c>
      <c r="D416" s="3">
        <v>10662</v>
      </c>
      <c r="E416" s="9">
        <v>125</v>
      </c>
    </row>
    <row r="417" spans="1:5" x14ac:dyDescent="0.25">
      <c r="A417" s="3" t="s">
        <v>8</v>
      </c>
      <c r="B417" s="3" t="s">
        <v>14</v>
      </c>
      <c r="C417" s="1">
        <v>38263</v>
      </c>
      <c r="D417" s="3">
        <v>10663</v>
      </c>
      <c r="E417" s="9">
        <v>1930.4</v>
      </c>
    </row>
    <row r="418" spans="1:5" x14ac:dyDescent="0.25">
      <c r="A418" s="3" t="s">
        <v>8</v>
      </c>
      <c r="B418" s="3" t="s">
        <v>12</v>
      </c>
      <c r="C418" s="1">
        <v>38249</v>
      </c>
      <c r="D418" s="3">
        <v>10664</v>
      </c>
      <c r="E418" s="9">
        <v>1288.3900000000001</v>
      </c>
    </row>
    <row r="419" spans="1:5" x14ac:dyDescent="0.25">
      <c r="A419" s="3" t="s">
        <v>8</v>
      </c>
      <c r="B419" s="3" t="s">
        <v>12</v>
      </c>
      <c r="C419" s="1">
        <v>38247</v>
      </c>
      <c r="D419" s="3">
        <v>10665</v>
      </c>
      <c r="E419" s="9">
        <v>1295</v>
      </c>
    </row>
    <row r="420" spans="1:5" x14ac:dyDescent="0.25">
      <c r="A420" s="3" t="s">
        <v>5</v>
      </c>
      <c r="B420" s="3" t="s">
        <v>15</v>
      </c>
      <c r="C420" s="1">
        <v>38252</v>
      </c>
      <c r="D420" s="3">
        <v>10666</v>
      </c>
      <c r="E420" s="9">
        <v>4666.9399999999996</v>
      </c>
    </row>
    <row r="421" spans="1:5" x14ac:dyDescent="0.25">
      <c r="A421" s="3" t="s">
        <v>5</v>
      </c>
      <c r="B421" s="3" t="s">
        <v>15</v>
      </c>
      <c r="C421" s="1">
        <v>38249</v>
      </c>
      <c r="D421" s="3">
        <v>10667</v>
      </c>
      <c r="E421" s="9">
        <v>1536.8</v>
      </c>
    </row>
    <row r="422" spans="1:5" x14ac:dyDescent="0.25">
      <c r="A422" s="3" t="s">
        <v>8</v>
      </c>
      <c r="B422" s="3" t="s">
        <v>12</v>
      </c>
      <c r="C422" s="1">
        <v>38253</v>
      </c>
      <c r="D422" s="3">
        <v>10668</v>
      </c>
      <c r="E422" s="9">
        <v>625.27</v>
      </c>
    </row>
    <row r="423" spans="1:5" x14ac:dyDescent="0.25">
      <c r="A423" s="3" t="s">
        <v>8</v>
      </c>
      <c r="B423" s="3" t="s">
        <v>14</v>
      </c>
      <c r="C423" s="1">
        <v>38252</v>
      </c>
      <c r="D423" s="3">
        <v>10669</v>
      </c>
      <c r="E423" s="9">
        <v>570</v>
      </c>
    </row>
    <row r="424" spans="1:5" x14ac:dyDescent="0.25">
      <c r="A424" s="3" t="s">
        <v>8</v>
      </c>
      <c r="B424" s="3" t="s">
        <v>9</v>
      </c>
      <c r="C424" s="1">
        <v>38248</v>
      </c>
      <c r="D424" s="3">
        <v>10670</v>
      </c>
      <c r="E424" s="9">
        <v>2301.75</v>
      </c>
    </row>
    <row r="425" spans="1:5" x14ac:dyDescent="0.25">
      <c r="A425" s="3" t="s">
        <v>8</v>
      </c>
      <c r="B425" s="3" t="s">
        <v>12</v>
      </c>
      <c r="C425" s="1">
        <v>38254</v>
      </c>
      <c r="D425" s="3">
        <v>10671</v>
      </c>
      <c r="E425" s="9">
        <v>920.1</v>
      </c>
    </row>
    <row r="426" spans="1:5" x14ac:dyDescent="0.25">
      <c r="A426" s="3" t="s">
        <v>5</v>
      </c>
      <c r="B426" s="3" t="s">
        <v>11</v>
      </c>
      <c r="C426" s="1">
        <v>38256</v>
      </c>
      <c r="D426" s="3">
        <v>10672</v>
      </c>
      <c r="E426" s="9">
        <v>3815.25</v>
      </c>
    </row>
    <row r="427" spans="1:5" x14ac:dyDescent="0.25">
      <c r="A427" s="3" t="s">
        <v>8</v>
      </c>
      <c r="B427" s="3" t="s">
        <v>14</v>
      </c>
      <c r="C427" s="1">
        <v>38249</v>
      </c>
      <c r="D427" s="3">
        <v>10673</v>
      </c>
      <c r="E427" s="9">
        <v>412.35</v>
      </c>
    </row>
    <row r="428" spans="1:5" x14ac:dyDescent="0.25">
      <c r="A428" s="3" t="s">
        <v>8</v>
      </c>
      <c r="B428" s="3" t="s">
        <v>9</v>
      </c>
      <c r="C428" s="1">
        <v>38260</v>
      </c>
      <c r="D428" s="3">
        <v>10674</v>
      </c>
      <c r="E428" s="9">
        <v>45</v>
      </c>
    </row>
    <row r="429" spans="1:5" x14ac:dyDescent="0.25">
      <c r="A429" s="3" t="s">
        <v>5</v>
      </c>
      <c r="B429" s="3" t="s">
        <v>6</v>
      </c>
      <c r="C429" s="1">
        <v>38253</v>
      </c>
      <c r="D429" s="3">
        <v>10675</v>
      </c>
      <c r="E429" s="9">
        <v>1423</v>
      </c>
    </row>
    <row r="430" spans="1:5" x14ac:dyDescent="0.25">
      <c r="A430" s="3" t="s">
        <v>8</v>
      </c>
      <c r="B430" s="3" t="s">
        <v>14</v>
      </c>
      <c r="C430" s="1">
        <v>38259</v>
      </c>
      <c r="D430" s="3">
        <v>10676</v>
      </c>
      <c r="E430" s="9">
        <v>534.85</v>
      </c>
    </row>
    <row r="431" spans="1:5" x14ac:dyDescent="0.25">
      <c r="A431" s="3" t="s">
        <v>8</v>
      </c>
      <c r="B431" s="3" t="s">
        <v>12</v>
      </c>
      <c r="C431" s="1">
        <v>38256</v>
      </c>
      <c r="D431" s="3">
        <v>10677</v>
      </c>
      <c r="E431" s="9">
        <v>813.36</v>
      </c>
    </row>
    <row r="432" spans="1:5" x14ac:dyDescent="0.25">
      <c r="A432" s="3" t="s">
        <v>5</v>
      </c>
      <c r="B432" s="3" t="s">
        <v>15</v>
      </c>
      <c r="C432" s="1">
        <v>38276</v>
      </c>
      <c r="D432" s="3">
        <v>10678</v>
      </c>
      <c r="E432" s="9">
        <v>5256.5</v>
      </c>
    </row>
    <row r="433" spans="1:5" x14ac:dyDescent="0.25">
      <c r="A433" s="3" t="s">
        <v>8</v>
      </c>
      <c r="B433" s="3" t="s">
        <v>13</v>
      </c>
      <c r="C433" s="1">
        <v>38260</v>
      </c>
      <c r="D433" s="3">
        <v>10679</v>
      </c>
      <c r="E433" s="9">
        <v>660</v>
      </c>
    </row>
    <row r="434" spans="1:5" x14ac:dyDescent="0.25">
      <c r="A434" s="3" t="s">
        <v>8</v>
      </c>
      <c r="B434" s="3" t="s">
        <v>12</v>
      </c>
      <c r="C434" s="1">
        <v>38256</v>
      </c>
      <c r="D434" s="3">
        <v>10680</v>
      </c>
      <c r="E434" s="9">
        <v>1261.8800000000001</v>
      </c>
    </row>
    <row r="435" spans="1:5" x14ac:dyDescent="0.25">
      <c r="A435" s="3" t="s">
        <v>8</v>
      </c>
      <c r="B435" s="3" t="s">
        <v>10</v>
      </c>
      <c r="C435" s="1">
        <v>38260</v>
      </c>
      <c r="D435" s="3">
        <v>10681</v>
      </c>
      <c r="E435" s="9">
        <v>1287.4000000000001</v>
      </c>
    </row>
    <row r="436" spans="1:5" x14ac:dyDescent="0.25">
      <c r="A436" s="3" t="s">
        <v>8</v>
      </c>
      <c r="B436" s="3" t="s">
        <v>10</v>
      </c>
      <c r="C436" s="1">
        <v>38261</v>
      </c>
      <c r="D436" s="3">
        <v>10682</v>
      </c>
      <c r="E436" s="9">
        <v>375.5</v>
      </c>
    </row>
    <row r="437" spans="1:5" x14ac:dyDescent="0.25">
      <c r="A437" s="3" t="s">
        <v>8</v>
      </c>
      <c r="B437" s="3" t="s">
        <v>14</v>
      </c>
      <c r="C437" s="1">
        <v>38261</v>
      </c>
      <c r="D437" s="3">
        <v>10683</v>
      </c>
      <c r="E437" s="9">
        <v>63</v>
      </c>
    </row>
    <row r="438" spans="1:5" x14ac:dyDescent="0.25">
      <c r="A438" s="3" t="s">
        <v>8</v>
      </c>
      <c r="B438" s="3" t="s">
        <v>10</v>
      </c>
      <c r="C438" s="1">
        <v>38260</v>
      </c>
      <c r="D438" s="3">
        <v>10684</v>
      </c>
      <c r="E438" s="9">
        <v>1768</v>
      </c>
    </row>
    <row r="439" spans="1:5" x14ac:dyDescent="0.25">
      <c r="A439" s="3" t="s">
        <v>8</v>
      </c>
      <c r="B439" s="3" t="s">
        <v>9</v>
      </c>
      <c r="C439" s="1">
        <v>38263</v>
      </c>
      <c r="D439" s="3">
        <v>10685</v>
      </c>
      <c r="E439" s="9">
        <v>801.1</v>
      </c>
    </row>
    <row r="440" spans="1:5" x14ac:dyDescent="0.25">
      <c r="A440" s="3" t="s">
        <v>8</v>
      </c>
      <c r="B440" s="3" t="s">
        <v>14</v>
      </c>
      <c r="C440" s="1">
        <v>38268</v>
      </c>
      <c r="D440" s="3">
        <v>10686</v>
      </c>
      <c r="E440" s="9">
        <v>1404.45</v>
      </c>
    </row>
    <row r="441" spans="1:5" x14ac:dyDescent="0.25">
      <c r="A441" s="3" t="s">
        <v>5</v>
      </c>
      <c r="B441" s="3" t="s">
        <v>11</v>
      </c>
      <c r="C441" s="1">
        <v>38290</v>
      </c>
      <c r="D441" s="3">
        <v>10687</v>
      </c>
      <c r="E441" s="9">
        <v>4960.8999999999996</v>
      </c>
    </row>
    <row r="442" spans="1:5" x14ac:dyDescent="0.25">
      <c r="A442" s="3" t="s">
        <v>8</v>
      </c>
      <c r="B442" s="3" t="s">
        <v>9</v>
      </c>
      <c r="C442" s="1">
        <v>38267</v>
      </c>
      <c r="D442" s="3">
        <v>10688</v>
      </c>
      <c r="E442" s="9">
        <v>3160.6</v>
      </c>
    </row>
    <row r="443" spans="1:5" x14ac:dyDescent="0.25">
      <c r="A443" s="3" t="s">
        <v>8</v>
      </c>
      <c r="B443" s="3" t="s">
        <v>12</v>
      </c>
      <c r="C443" s="1">
        <v>38267</v>
      </c>
      <c r="D443" s="3">
        <v>10689</v>
      </c>
      <c r="E443" s="9">
        <v>472.5</v>
      </c>
    </row>
    <row r="444" spans="1:5" x14ac:dyDescent="0.25">
      <c r="A444" s="3" t="s">
        <v>8</v>
      </c>
      <c r="B444" s="3" t="s">
        <v>12</v>
      </c>
      <c r="C444" s="1">
        <v>38263</v>
      </c>
      <c r="D444" s="3">
        <v>10690</v>
      </c>
      <c r="E444" s="9">
        <v>862.5</v>
      </c>
    </row>
    <row r="445" spans="1:5" x14ac:dyDescent="0.25">
      <c r="A445" s="3" t="s">
        <v>8</v>
      </c>
      <c r="B445" s="3" t="s">
        <v>14</v>
      </c>
      <c r="C445" s="1">
        <v>38282</v>
      </c>
      <c r="D445" s="3">
        <v>10691</v>
      </c>
      <c r="E445" s="9">
        <v>10164.799999999999</v>
      </c>
    </row>
    <row r="446" spans="1:5" x14ac:dyDescent="0.25">
      <c r="A446" s="3" t="s">
        <v>8</v>
      </c>
      <c r="B446" s="3" t="s">
        <v>9</v>
      </c>
      <c r="C446" s="1">
        <v>38273</v>
      </c>
      <c r="D446" s="3">
        <v>10692</v>
      </c>
      <c r="E446" s="9">
        <v>878</v>
      </c>
    </row>
    <row r="447" spans="1:5" x14ac:dyDescent="0.25">
      <c r="A447" s="3" t="s">
        <v>8</v>
      </c>
      <c r="B447" s="3" t="s">
        <v>10</v>
      </c>
      <c r="C447" s="1">
        <v>38270</v>
      </c>
      <c r="D447" s="3">
        <v>10693</v>
      </c>
      <c r="E447" s="9">
        <v>2071.1999999999998</v>
      </c>
    </row>
    <row r="448" spans="1:5" x14ac:dyDescent="0.25">
      <c r="A448" s="3" t="s">
        <v>8</v>
      </c>
      <c r="B448" s="3" t="s">
        <v>13</v>
      </c>
      <c r="C448" s="1">
        <v>38269</v>
      </c>
      <c r="D448" s="3">
        <v>10694</v>
      </c>
      <c r="E448" s="9">
        <v>4825</v>
      </c>
    </row>
    <row r="449" spans="1:5" x14ac:dyDescent="0.25">
      <c r="A449" s="3" t="s">
        <v>5</v>
      </c>
      <c r="B449" s="3" t="s">
        <v>15</v>
      </c>
      <c r="C449" s="1">
        <v>38274</v>
      </c>
      <c r="D449" s="3">
        <v>10695</v>
      </c>
      <c r="E449" s="9">
        <v>642</v>
      </c>
    </row>
    <row r="450" spans="1:5" x14ac:dyDescent="0.25">
      <c r="A450" s="3" t="s">
        <v>8</v>
      </c>
      <c r="B450" s="3" t="s">
        <v>13</v>
      </c>
      <c r="C450" s="1">
        <v>38274</v>
      </c>
      <c r="D450" s="3">
        <v>10696</v>
      </c>
      <c r="E450" s="9">
        <v>996</v>
      </c>
    </row>
    <row r="451" spans="1:5" x14ac:dyDescent="0.25">
      <c r="A451" s="3" t="s">
        <v>8</v>
      </c>
      <c r="B451" s="3" t="s">
        <v>10</v>
      </c>
      <c r="C451" s="1">
        <v>38274</v>
      </c>
      <c r="D451" s="3">
        <v>10697</v>
      </c>
      <c r="E451" s="9">
        <v>805.43</v>
      </c>
    </row>
    <row r="452" spans="1:5" x14ac:dyDescent="0.25">
      <c r="A452" s="3" t="s">
        <v>8</v>
      </c>
      <c r="B452" s="3" t="s">
        <v>9</v>
      </c>
      <c r="C452" s="1">
        <v>38277</v>
      </c>
      <c r="D452" s="3">
        <v>10698</v>
      </c>
      <c r="E452" s="9">
        <v>3436.45</v>
      </c>
    </row>
    <row r="453" spans="1:5" x14ac:dyDescent="0.25">
      <c r="A453" s="3" t="s">
        <v>8</v>
      </c>
      <c r="B453" s="3" t="s">
        <v>10</v>
      </c>
      <c r="C453" s="1">
        <v>38273</v>
      </c>
      <c r="D453" s="3">
        <v>10699</v>
      </c>
      <c r="E453" s="9">
        <v>114</v>
      </c>
    </row>
    <row r="454" spans="1:5" x14ac:dyDescent="0.25">
      <c r="A454" s="3" t="s">
        <v>8</v>
      </c>
      <c r="B454" s="3" t="s">
        <v>10</v>
      </c>
      <c r="C454" s="1">
        <v>38276</v>
      </c>
      <c r="D454" s="3">
        <v>10700</v>
      </c>
      <c r="E454" s="9">
        <v>1638.4</v>
      </c>
    </row>
    <row r="455" spans="1:5" x14ac:dyDescent="0.25">
      <c r="A455" s="3" t="s">
        <v>5</v>
      </c>
      <c r="B455" s="3" t="s">
        <v>7</v>
      </c>
      <c r="C455" s="1">
        <v>38275</v>
      </c>
      <c r="D455" s="3">
        <v>10701</v>
      </c>
      <c r="E455" s="9">
        <v>2864.5</v>
      </c>
    </row>
    <row r="456" spans="1:5" x14ac:dyDescent="0.25">
      <c r="A456" s="3" t="s">
        <v>8</v>
      </c>
      <c r="B456" s="3" t="s">
        <v>9</v>
      </c>
      <c r="C456" s="1">
        <v>38281</v>
      </c>
      <c r="D456" s="3">
        <v>10702</v>
      </c>
      <c r="E456" s="9">
        <v>330</v>
      </c>
    </row>
    <row r="457" spans="1:5" x14ac:dyDescent="0.25">
      <c r="A457" s="3" t="s">
        <v>5</v>
      </c>
      <c r="B457" s="3" t="s">
        <v>7</v>
      </c>
      <c r="C457" s="1">
        <v>38280</v>
      </c>
      <c r="D457" s="3">
        <v>10703</v>
      </c>
      <c r="E457" s="9">
        <v>2545</v>
      </c>
    </row>
    <row r="458" spans="1:5" x14ac:dyDescent="0.25">
      <c r="A458" s="3" t="s">
        <v>5</v>
      </c>
      <c r="B458" s="3" t="s">
        <v>7</v>
      </c>
      <c r="C458" s="1">
        <v>38298</v>
      </c>
      <c r="D458" s="3">
        <v>10704</v>
      </c>
      <c r="E458" s="9">
        <v>595.5</v>
      </c>
    </row>
    <row r="459" spans="1:5" x14ac:dyDescent="0.25">
      <c r="A459" s="3" t="s">
        <v>5</v>
      </c>
      <c r="B459" s="3" t="s">
        <v>11</v>
      </c>
      <c r="C459" s="1">
        <v>38309</v>
      </c>
      <c r="D459" s="3">
        <v>10705</v>
      </c>
      <c r="E459" s="9">
        <v>378</v>
      </c>
    </row>
    <row r="460" spans="1:5" x14ac:dyDescent="0.25">
      <c r="A460" s="3" t="s">
        <v>8</v>
      </c>
      <c r="B460" s="3" t="s">
        <v>13</v>
      </c>
      <c r="C460" s="1">
        <v>38281</v>
      </c>
      <c r="D460" s="3">
        <v>10706</v>
      </c>
      <c r="E460" s="9">
        <v>1893</v>
      </c>
    </row>
    <row r="461" spans="1:5" x14ac:dyDescent="0.25">
      <c r="A461" s="3" t="s">
        <v>8</v>
      </c>
      <c r="B461" s="3" t="s">
        <v>9</v>
      </c>
      <c r="C461" s="1">
        <v>38283</v>
      </c>
      <c r="D461" s="3">
        <v>10707</v>
      </c>
      <c r="E461" s="9">
        <v>1641</v>
      </c>
    </row>
    <row r="462" spans="1:5" x14ac:dyDescent="0.25">
      <c r="A462" s="3" t="s">
        <v>5</v>
      </c>
      <c r="B462" s="3" t="s">
        <v>7</v>
      </c>
      <c r="C462" s="1">
        <v>38296</v>
      </c>
      <c r="D462" s="3">
        <v>10708</v>
      </c>
      <c r="E462" s="9">
        <v>180.4</v>
      </c>
    </row>
    <row r="463" spans="1:5" x14ac:dyDescent="0.25">
      <c r="A463" s="3" t="s">
        <v>8</v>
      </c>
      <c r="B463" s="3" t="s">
        <v>12</v>
      </c>
      <c r="C463" s="1">
        <v>38311</v>
      </c>
      <c r="D463" s="3">
        <v>10709</v>
      </c>
      <c r="E463" s="9">
        <v>3424</v>
      </c>
    </row>
    <row r="464" spans="1:5" x14ac:dyDescent="0.25">
      <c r="A464" s="3" t="s">
        <v>8</v>
      </c>
      <c r="B464" s="3" t="s">
        <v>12</v>
      </c>
      <c r="C464" s="1">
        <v>38283</v>
      </c>
      <c r="D464" s="3">
        <v>10710</v>
      </c>
      <c r="E464" s="9">
        <v>93.5</v>
      </c>
    </row>
    <row r="465" spans="1:5" x14ac:dyDescent="0.25">
      <c r="A465" s="3" t="s">
        <v>5</v>
      </c>
      <c r="B465" s="3" t="s">
        <v>6</v>
      </c>
      <c r="C465" s="1">
        <v>38289</v>
      </c>
      <c r="D465" s="3">
        <v>10711</v>
      </c>
      <c r="E465" s="9">
        <v>4451.7</v>
      </c>
    </row>
    <row r="466" spans="1:5" x14ac:dyDescent="0.25">
      <c r="A466" s="3" t="s">
        <v>8</v>
      </c>
      <c r="B466" s="3" t="s">
        <v>10</v>
      </c>
      <c r="C466" s="1">
        <v>38291</v>
      </c>
      <c r="D466" s="3">
        <v>10712</v>
      </c>
      <c r="E466" s="9">
        <v>1233.48</v>
      </c>
    </row>
    <row r="467" spans="1:5" x14ac:dyDescent="0.25">
      <c r="A467" s="3" t="s">
        <v>8</v>
      </c>
      <c r="B467" s="3" t="s">
        <v>12</v>
      </c>
      <c r="C467" s="1">
        <v>38284</v>
      </c>
      <c r="D467" s="3">
        <v>10713</v>
      </c>
      <c r="E467" s="9">
        <v>2827.9</v>
      </c>
    </row>
    <row r="468" spans="1:5" x14ac:dyDescent="0.25">
      <c r="A468" s="3" t="s">
        <v>5</v>
      </c>
      <c r="B468" s="3" t="s">
        <v>6</v>
      </c>
      <c r="C468" s="1">
        <v>38287</v>
      </c>
      <c r="D468" s="3">
        <v>10714</v>
      </c>
      <c r="E468" s="9">
        <v>2205.75</v>
      </c>
    </row>
    <row r="469" spans="1:5" x14ac:dyDescent="0.25">
      <c r="A469" s="3" t="s">
        <v>8</v>
      </c>
      <c r="B469" s="3" t="s">
        <v>10</v>
      </c>
      <c r="C469" s="1">
        <v>38289</v>
      </c>
      <c r="D469" s="3">
        <v>10715</v>
      </c>
      <c r="E469" s="9">
        <v>1296</v>
      </c>
    </row>
    <row r="470" spans="1:5" x14ac:dyDescent="0.25">
      <c r="A470" s="3" t="s">
        <v>8</v>
      </c>
      <c r="B470" s="3" t="s">
        <v>9</v>
      </c>
      <c r="C470" s="1">
        <v>38287</v>
      </c>
      <c r="D470" s="3">
        <v>10716</v>
      </c>
      <c r="E470" s="9">
        <v>706</v>
      </c>
    </row>
    <row r="471" spans="1:5" x14ac:dyDescent="0.25">
      <c r="A471" s="3" t="s">
        <v>8</v>
      </c>
      <c r="B471" s="3" t="s">
        <v>12</v>
      </c>
      <c r="C471" s="1">
        <v>38289</v>
      </c>
      <c r="D471" s="3">
        <v>10717</v>
      </c>
      <c r="E471" s="9">
        <v>1270.75</v>
      </c>
    </row>
    <row r="472" spans="1:5" x14ac:dyDescent="0.25">
      <c r="A472" s="3" t="s">
        <v>8</v>
      </c>
      <c r="B472" s="3" t="s">
        <v>12</v>
      </c>
      <c r="C472" s="1">
        <v>38289</v>
      </c>
      <c r="D472" s="3">
        <v>10718</v>
      </c>
      <c r="E472" s="9">
        <v>3463</v>
      </c>
    </row>
    <row r="473" spans="1:5" x14ac:dyDescent="0.25">
      <c r="A473" s="3" t="s">
        <v>8</v>
      </c>
      <c r="B473" s="3" t="s">
        <v>13</v>
      </c>
      <c r="C473" s="1">
        <v>38296</v>
      </c>
      <c r="D473" s="3">
        <v>10719</v>
      </c>
      <c r="E473" s="9">
        <v>844.25</v>
      </c>
    </row>
    <row r="474" spans="1:5" x14ac:dyDescent="0.25">
      <c r="A474" s="3" t="s">
        <v>8</v>
      </c>
      <c r="B474" s="3" t="s">
        <v>13</v>
      </c>
      <c r="C474" s="1">
        <v>38296</v>
      </c>
      <c r="D474" s="3">
        <v>10720</v>
      </c>
      <c r="E474" s="9">
        <v>550</v>
      </c>
    </row>
    <row r="475" spans="1:5" x14ac:dyDescent="0.25">
      <c r="A475" s="3" t="s">
        <v>5</v>
      </c>
      <c r="B475" s="3" t="s">
        <v>6</v>
      </c>
      <c r="C475" s="1">
        <v>38291</v>
      </c>
      <c r="D475" s="3">
        <v>10721</v>
      </c>
      <c r="E475" s="9">
        <v>923.87</v>
      </c>
    </row>
    <row r="476" spans="1:5" x14ac:dyDescent="0.25">
      <c r="A476" s="3" t="s">
        <v>8</v>
      </c>
      <c r="B476" s="3" t="s">
        <v>13</v>
      </c>
      <c r="C476" s="1">
        <v>38295</v>
      </c>
      <c r="D476" s="3">
        <v>10722</v>
      </c>
      <c r="E476" s="9">
        <v>1570</v>
      </c>
    </row>
    <row r="477" spans="1:5" x14ac:dyDescent="0.25">
      <c r="A477" s="3" t="s">
        <v>8</v>
      </c>
      <c r="B477" s="3" t="s">
        <v>10</v>
      </c>
      <c r="C477" s="1">
        <v>38316</v>
      </c>
      <c r="D477" s="3">
        <v>10723</v>
      </c>
      <c r="E477" s="9">
        <v>468.45</v>
      </c>
    </row>
    <row r="478" spans="1:5" x14ac:dyDescent="0.25">
      <c r="A478" s="3" t="s">
        <v>8</v>
      </c>
      <c r="B478" s="3" t="s">
        <v>13</v>
      </c>
      <c r="C478" s="1">
        <v>38296</v>
      </c>
      <c r="D478" s="3">
        <v>10724</v>
      </c>
      <c r="E478" s="9">
        <v>638.5</v>
      </c>
    </row>
    <row r="479" spans="1:5" x14ac:dyDescent="0.25">
      <c r="A479" s="3" t="s">
        <v>8</v>
      </c>
      <c r="B479" s="3" t="s">
        <v>9</v>
      </c>
      <c r="C479" s="1">
        <v>38296</v>
      </c>
      <c r="D479" s="3">
        <v>10725</v>
      </c>
      <c r="E479" s="9">
        <v>287.8</v>
      </c>
    </row>
    <row r="480" spans="1:5" x14ac:dyDescent="0.25">
      <c r="A480" s="3" t="s">
        <v>8</v>
      </c>
      <c r="B480" s="3" t="s">
        <v>9</v>
      </c>
      <c r="C480" s="1">
        <v>38326</v>
      </c>
      <c r="D480" s="3">
        <v>10726</v>
      </c>
      <c r="E480" s="9">
        <v>655</v>
      </c>
    </row>
    <row r="481" spans="1:5" x14ac:dyDescent="0.25">
      <c r="A481" s="3" t="s">
        <v>8</v>
      </c>
      <c r="B481" s="3" t="s">
        <v>14</v>
      </c>
      <c r="C481" s="1">
        <v>38326</v>
      </c>
      <c r="D481" s="3">
        <v>10727</v>
      </c>
      <c r="E481" s="9">
        <v>1624.5</v>
      </c>
    </row>
    <row r="482" spans="1:5" x14ac:dyDescent="0.25">
      <c r="A482" s="3" t="s">
        <v>8</v>
      </c>
      <c r="B482" s="3" t="s">
        <v>9</v>
      </c>
      <c r="C482" s="1">
        <v>38302</v>
      </c>
      <c r="D482" s="3">
        <v>10728</v>
      </c>
      <c r="E482" s="9">
        <v>1296.75</v>
      </c>
    </row>
    <row r="483" spans="1:5" x14ac:dyDescent="0.25">
      <c r="A483" s="3" t="s">
        <v>8</v>
      </c>
      <c r="B483" s="3" t="s">
        <v>13</v>
      </c>
      <c r="C483" s="1">
        <v>38305</v>
      </c>
      <c r="D483" s="3">
        <v>10729</v>
      </c>
      <c r="E483" s="9">
        <v>1850</v>
      </c>
    </row>
    <row r="484" spans="1:5" x14ac:dyDescent="0.25">
      <c r="A484" s="3" t="s">
        <v>5</v>
      </c>
      <c r="B484" s="3" t="s">
        <v>6</v>
      </c>
      <c r="C484" s="1">
        <v>38305</v>
      </c>
      <c r="D484" s="3">
        <v>10730</v>
      </c>
      <c r="E484" s="9">
        <v>484.25</v>
      </c>
    </row>
    <row r="485" spans="1:5" x14ac:dyDescent="0.25">
      <c r="A485" s="3" t="s">
        <v>5</v>
      </c>
      <c r="B485" s="3" t="s">
        <v>15</v>
      </c>
      <c r="C485" s="1">
        <v>38305</v>
      </c>
      <c r="D485" s="3">
        <v>10731</v>
      </c>
      <c r="E485" s="9">
        <v>1890.5</v>
      </c>
    </row>
    <row r="486" spans="1:5" x14ac:dyDescent="0.25">
      <c r="A486" s="3" t="s">
        <v>8</v>
      </c>
      <c r="B486" s="3" t="s">
        <v>10</v>
      </c>
      <c r="C486" s="1">
        <v>38298</v>
      </c>
      <c r="D486" s="3">
        <v>10732</v>
      </c>
      <c r="E486" s="9">
        <v>360</v>
      </c>
    </row>
    <row r="487" spans="1:5" x14ac:dyDescent="0.25">
      <c r="A487" s="3" t="s">
        <v>8</v>
      </c>
      <c r="B487" s="3" t="s">
        <v>12</v>
      </c>
      <c r="C487" s="1">
        <v>38301</v>
      </c>
      <c r="D487" s="3">
        <v>10733</v>
      </c>
      <c r="E487" s="9">
        <v>1459</v>
      </c>
    </row>
    <row r="488" spans="1:5" x14ac:dyDescent="0.25">
      <c r="A488" s="3" t="s">
        <v>8</v>
      </c>
      <c r="B488" s="3" t="s">
        <v>14</v>
      </c>
      <c r="C488" s="1">
        <v>38303</v>
      </c>
      <c r="D488" s="3">
        <v>10734</v>
      </c>
      <c r="E488" s="9">
        <v>1498.35</v>
      </c>
    </row>
    <row r="489" spans="1:5" x14ac:dyDescent="0.25">
      <c r="A489" s="3" t="s">
        <v>5</v>
      </c>
      <c r="B489" s="3" t="s">
        <v>7</v>
      </c>
      <c r="C489" s="1">
        <v>38312</v>
      </c>
      <c r="D489" s="3">
        <v>10735</v>
      </c>
      <c r="E489" s="9">
        <v>536.4</v>
      </c>
    </row>
    <row r="490" spans="1:5" x14ac:dyDescent="0.25">
      <c r="A490" s="3" t="s">
        <v>5</v>
      </c>
      <c r="B490" s="3" t="s">
        <v>11</v>
      </c>
      <c r="C490" s="1">
        <v>38312</v>
      </c>
      <c r="D490" s="3">
        <v>10736</v>
      </c>
      <c r="E490" s="9">
        <v>997</v>
      </c>
    </row>
    <row r="491" spans="1:5" x14ac:dyDescent="0.25">
      <c r="A491" s="3" t="s">
        <v>8</v>
      </c>
      <c r="B491" s="3" t="s">
        <v>14</v>
      </c>
      <c r="C491" s="1">
        <v>38309</v>
      </c>
      <c r="D491" s="3">
        <v>10737</v>
      </c>
      <c r="E491" s="9">
        <v>139.80000000000001</v>
      </c>
    </row>
    <row r="492" spans="1:5" x14ac:dyDescent="0.25">
      <c r="A492" s="3" t="s">
        <v>8</v>
      </c>
      <c r="B492" s="3" t="s">
        <v>14</v>
      </c>
      <c r="C492" s="1">
        <v>38309</v>
      </c>
      <c r="D492" s="3">
        <v>10738</v>
      </c>
      <c r="E492" s="9">
        <v>52.35</v>
      </c>
    </row>
    <row r="493" spans="1:5" x14ac:dyDescent="0.25">
      <c r="A493" s="3" t="s">
        <v>8</v>
      </c>
      <c r="B493" s="3" t="s">
        <v>10</v>
      </c>
      <c r="C493" s="1">
        <v>38308</v>
      </c>
      <c r="D493" s="3">
        <v>10739</v>
      </c>
      <c r="E493" s="9">
        <v>240</v>
      </c>
    </row>
    <row r="494" spans="1:5" x14ac:dyDescent="0.25">
      <c r="A494" s="3" t="s">
        <v>8</v>
      </c>
      <c r="B494" s="3" t="s">
        <v>9</v>
      </c>
      <c r="C494" s="1">
        <v>38316</v>
      </c>
      <c r="D494" s="3">
        <v>10740</v>
      </c>
      <c r="E494" s="9">
        <v>1416</v>
      </c>
    </row>
    <row r="495" spans="1:5" x14ac:dyDescent="0.25">
      <c r="A495" s="3" t="s">
        <v>8</v>
      </c>
      <c r="B495" s="3" t="s">
        <v>9</v>
      </c>
      <c r="C495" s="1">
        <v>38309</v>
      </c>
      <c r="D495" s="3">
        <v>10741</v>
      </c>
      <c r="E495" s="9">
        <v>228</v>
      </c>
    </row>
    <row r="496" spans="1:5" x14ac:dyDescent="0.25">
      <c r="A496" s="3" t="s">
        <v>8</v>
      </c>
      <c r="B496" s="3" t="s">
        <v>10</v>
      </c>
      <c r="C496" s="1">
        <v>38309</v>
      </c>
      <c r="D496" s="3">
        <v>10742</v>
      </c>
      <c r="E496" s="9">
        <v>3118</v>
      </c>
    </row>
    <row r="497" spans="1:5" x14ac:dyDescent="0.25">
      <c r="A497" s="3" t="s">
        <v>8</v>
      </c>
      <c r="B497" s="3" t="s">
        <v>12</v>
      </c>
      <c r="C497" s="1">
        <v>38312</v>
      </c>
      <c r="D497" s="3">
        <v>10743</v>
      </c>
      <c r="E497" s="9">
        <v>319.2</v>
      </c>
    </row>
    <row r="498" spans="1:5" x14ac:dyDescent="0.25">
      <c r="A498" s="3" t="s">
        <v>5</v>
      </c>
      <c r="B498" s="3" t="s">
        <v>7</v>
      </c>
      <c r="C498" s="1">
        <v>38315</v>
      </c>
      <c r="D498" s="3">
        <v>10744</v>
      </c>
      <c r="E498" s="9">
        <v>736</v>
      </c>
    </row>
    <row r="499" spans="1:5" x14ac:dyDescent="0.25">
      <c r="A499" s="3" t="s">
        <v>5</v>
      </c>
      <c r="B499" s="3" t="s">
        <v>11</v>
      </c>
      <c r="C499" s="1">
        <v>38318</v>
      </c>
      <c r="D499" s="3">
        <v>10745</v>
      </c>
      <c r="E499" s="9">
        <v>4529.8</v>
      </c>
    </row>
    <row r="500" spans="1:5" x14ac:dyDescent="0.25">
      <c r="A500" s="3" t="s">
        <v>8</v>
      </c>
      <c r="B500" s="3" t="s">
        <v>12</v>
      </c>
      <c r="C500" s="1">
        <v>38312</v>
      </c>
      <c r="D500" s="3">
        <v>10746</v>
      </c>
      <c r="E500" s="9">
        <v>2311.6999999999998</v>
      </c>
    </row>
    <row r="501" spans="1:5" x14ac:dyDescent="0.25">
      <c r="A501" s="3" t="s">
        <v>5</v>
      </c>
      <c r="B501" s="3" t="s">
        <v>7</v>
      </c>
      <c r="C501" s="1">
        <v>38317</v>
      </c>
      <c r="D501" s="3">
        <v>10747</v>
      </c>
      <c r="E501" s="9">
        <v>1912.85</v>
      </c>
    </row>
    <row r="502" spans="1:5" x14ac:dyDescent="0.25">
      <c r="A502" s="3" t="s">
        <v>8</v>
      </c>
      <c r="B502" s="3" t="s">
        <v>10</v>
      </c>
      <c r="C502" s="1">
        <v>38319</v>
      </c>
      <c r="D502" s="3">
        <v>10748</v>
      </c>
      <c r="E502" s="9">
        <v>2196</v>
      </c>
    </row>
    <row r="503" spans="1:5" x14ac:dyDescent="0.25">
      <c r="A503" s="3" t="s">
        <v>8</v>
      </c>
      <c r="B503" s="3" t="s">
        <v>9</v>
      </c>
      <c r="C503" s="1">
        <v>38340</v>
      </c>
      <c r="D503" s="3">
        <v>10749</v>
      </c>
      <c r="E503" s="9">
        <v>1080</v>
      </c>
    </row>
    <row r="504" spans="1:5" x14ac:dyDescent="0.25">
      <c r="A504" s="3" t="s">
        <v>5</v>
      </c>
      <c r="B504" s="3" t="s">
        <v>11</v>
      </c>
      <c r="C504" s="1">
        <v>38315</v>
      </c>
      <c r="D504" s="3">
        <v>10750</v>
      </c>
      <c r="E504" s="9">
        <v>1590.56</v>
      </c>
    </row>
    <row r="505" spans="1:5" x14ac:dyDescent="0.25">
      <c r="A505" s="3" t="s">
        <v>8</v>
      </c>
      <c r="B505" s="3" t="s">
        <v>10</v>
      </c>
      <c r="C505" s="1">
        <v>38324</v>
      </c>
      <c r="D505" s="3">
        <v>10751</v>
      </c>
      <c r="E505" s="9">
        <v>1631.48</v>
      </c>
    </row>
    <row r="506" spans="1:5" x14ac:dyDescent="0.25">
      <c r="A506" s="3" t="s">
        <v>8</v>
      </c>
      <c r="B506" s="3" t="s">
        <v>14</v>
      </c>
      <c r="C506" s="1">
        <v>38319</v>
      </c>
      <c r="D506" s="3">
        <v>10752</v>
      </c>
      <c r="E506" s="9">
        <v>252</v>
      </c>
    </row>
    <row r="507" spans="1:5" x14ac:dyDescent="0.25">
      <c r="A507" s="3" t="s">
        <v>8</v>
      </c>
      <c r="B507" s="3" t="s">
        <v>10</v>
      </c>
      <c r="C507" s="1">
        <v>38318</v>
      </c>
      <c r="D507" s="3">
        <v>10753</v>
      </c>
      <c r="E507" s="9">
        <v>88</v>
      </c>
    </row>
    <row r="508" spans="1:5" x14ac:dyDescent="0.25">
      <c r="A508" s="3" t="s">
        <v>5</v>
      </c>
      <c r="B508" s="3" t="s">
        <v>7</v>
      </c>
      <c r="C508" s="1">
        <v>38318</v>
      </c>
      <c r="D508" s="3">
        <v>10754</v>
      </c>
      <c r="E508" s="9">
        <v>55.2</v>
      </c>
    </row>
    <row r="509" spans="1:5" x14ac:dyDescent="0.25">
      <c r="A509" s="3" t="s">
        <v>8</v>
      </c>
      <c r="B509" s="3" t="s">
        <v>9</v>
      </c>
      <c r="C509" s="1">
        <v>38319</v>
      </c>
      <c r="D509" s="3">
        <v>10755</v>
      </c>
      <c r="E509" s="9">
        <v>1948.5</v>
      </c>
    </row>
    <row r="510" spans="1:5" x14ac:dyDescent="0.25">
      <c r="A510" s="3" t="s">
        <v>8</v>
      </c>
      <c r="B510" s="3" t="s">
        <v>13</v>
      </c>
      <c r="C510" s="1">
        <v>38323</v>
      </c>
      <c r="D510" s="3">
        <v>10756</v>
      </c>
      <c r="E510" s="9">
        <v>1990</v>
      </c>
    </row>
    <row r="511" spans="1:5" x14ac:dyDescent="0.25">
      <c r="A511" s="3" t="s">
        <v>5</v>
      </c>
      <c r="B511" s="3" t="s">
        <v>7</v>
      </c>
      <c r="C511" s="1">
        <v>38336</v>
      </c>
      <c r="D511" s="3">
        <v>10757</v>
      </c>
      <c r="E511" s="9">
        <v>3082</v>
      </c>
    </row>
    <row r="512" spans="1:5" x14ac:dyDescent="0.25">
      <c r="A512" s="3" t="s">
        <v>8</v>
      </c>
      <c r="B512" s="3" t="s">
        <v>10</v>
      </c>
      <c r="C512" s="1">
        <v>38325</v>
      </c>
      <c r="D512" s="3">
        <v>10758</v>
      </c>
      <c r="E512" s="9">
        <v>1644.6</v>
      </c>
    </row>
    <row r="513" spans="1:5" x14ac:dyDescent="0.25">
      <c r="A513" s="3" t="s">
        <v>8</v>
      </c>
      <c r="B513" s="3" t="s">
        <v>10</v>
      </c>
      <c r="C513" s="1">
        <v>38333</v>
      </c>
      <c r="D513" s="3">
        <v>10759</v>
      </c>
      <c r="E513" s="9">
        <v>320</v>
      </c>
    </row>
    <row r="514" spans="1:5" x14ac:dyDescent="0.25">
      <c r="A514" s="3" t="s">
        <v>8</v>
      </c>
      <c r="B514" s="3" t="s">
        <v>9</v>
      </c>
      <c r="C514" s="1">
        <v>38331</v>
      </c>
      <c r="D514" s="3">
        <v>10760</v>
      </c>
      <c r="E514" s="9">
        <v>2917</v>
      </c>
    </row>
    <row r="515" spans="1:5" x14ac:dyDescent="0.25">
      <c r="A515" s="3" t="s">
        <v>5</v>
      </c>
      <c r="B515" s="3" t="s">
        <v>6</v>
      </c>
      <c r="C515" s="1">
        <v>38329</v>
      </c>
      <c r="D515" s="3">
        <v>10761</v>
      </c>
      <c r="E515" s="9">
        <v>507</v>
      </c>
    </row>
    <row r="516" spans="1:5" x14ac:dyDescent="0.25">
      <c r="A516" s="3" t="s">
        <v>8</v>
      </c>
      <c r="B516" s="3" t="s">
        <v>10</v>
      </c>
      <c r="C516" s="1">
        <v>38330</v>
      </c>
      <c r="D516" s="3">
        <v>10762</v>
      </c>
      <c r="E516" s="9">
        <v>4337</v>
      </c>
    </row>
    <row r="517" spans="1:5" x14ac:dyDescent="0.25">
      <c r="A517" s="3" t="s">
        <v>8</v>
      </c>
      <c r="B517" s="3" t="s">
        <v>10</v>
      </c>
      <c r="C517" s="1">
        <v>38329</v>
      </c>
      <c r="D517" s="3">
        <v>10763</v>
      </c>
      <c r="E517" s="9">
        <v>616</v>
      </c>
    </row>
    <row r="518" spans="1:5" x14ac:dyDescent="0.25">
      <c r="A518" s="3" t="s">
        <v>5</v>
      </c>
      <c r="B518" s="3" t="s">
        <v>7</v>
      </c>
      <c r="C518" s="1">
        <v>38329</v>
      </c>
      <c r="D518" s="3">
        <v>10764</v>
      </c>
      <c r="E518" s="9">
        <v>2286</v>
      </c>
    </row>
    <row r="519" spans="1:5" x14ac:dyDescent="0.25">
      <c r="A519" s="3" t="s">
        <v>8</v>
      </c>
      <c r="B519" s="3" t="s">
        <v>10</v>
      </c>
      <c r="C519" s="1">
        <v>38330</v>
      </c>
      <c r="D519" s="3">
        <v>10765</v>
      </c>
      <c r="E519" s="9">
        <v>1515.6</v>
      </c>
    </row>
    <row r="520" spans="1:5" x14ac:dyDescent="0.25">
      <c r="A520" s="3" t="s">
        <v>8</v>
      </c>
      <c r="B520" s="3" t="s">
        <v>9</v>
      </c>
      <c r="C520" s="1">
        <v>38330</v>
      </c>
      <c r="D520" s="3">
        <v>10766</v>
      </c>
      <c r="E520" s="9">
        <v>2310</v>
      </c>
    </row>
    <row r="521" spans="1:5" x14ac:dyDescent="0.25">
      <c r="A521" s="3" t="s">
        <v>8</v>
      </c>
      <c r="B521" s="3" t="s">
        <v>9</v>
      </c>
      <c r="C521" s="1">
        <v>38336</v>
      </c>
      <c r="D521" s="3">
        <v>10767</v>
      </c>
      <c r="E521" s="9">
        <v>28</v>
      </c>
    </row>
    <row r="522" spans="1:5" x14ac:dyDescent="0.25">
      <c r="A522" s="3" t="s">
        <v>8</v>
      </c>
      <c r="B522" s="3" t="s">
        <v>10</v>
      </c>
      <c r="C522" s="1">
        <v>38336</v>
      </c>
      <c r="D522" s="3">
        <v>10768</v>
      </c>
      <c r="E522" s="9">
        <v>1477</v>
      </c>
    </row>
    <row r="523" spans="1:5" x14ac:dyDescent="0.25">
      <c r="A523" s="3" t="s">
        <v>8</v>
      </c>
      <c r="B523" s="3" t="s">
        <v>10</v>
      </c>
      <c r="C523" s="1">
        <v>38333</v>
      </c>
      <c r="D523" s="3">
        <v>10769</v>
      </c>
      <c r="E523" s="9">
        <v>1684.27</v>
      </c>
    </row>
    <row r="524" spans="1:5" x14ac:dyDescent="0.25">
      <c r="A524" s="3" t="s">
        <v>8</v>
      </c>
      <c r="B524" s="3" t="s">
        <v>13</v>
      </c>
      <c r="C524" s="1">
        <v>38338</v>
      </c>
      <c r="D524" s="3">
        <v>10770</v>
      </c>
      <c r="E524" s="9">
        <v>236.25</v>
      </c>
    </row>
    <row r="525" spans="1:5" x14ac:dyDescent="0.25">
      <c r="A525" s="3" t="s">
        <v>5</v>
      </c>
      <c r="B525" s="3" t="s">
        <v>11</v>
      </c>
      <c r="C525" s="1">
        <v>37988</v>
      </c>
      <c r="D525" s="3">
        <v>10771</v>
      </c>
      <c r="E525" s="9">
        <v>344</v>
      </c>
    </row>
    <row r="526" spans="1:5" x14ac:dyDescent="0.25">
      <c r="A526" s="3" t="s">
        <v>8</v>
      </c>
      <c r="B526" s="3" t="s">
        <v>10</v>
      </c>
      <c r="C526" s="1">
        <v>38340</v>
      </c>
      <c r="D526" s="3">
        <v>10772</v>
      </c>
      <c r="E526" s="9">
        <v>3603.22</v>
      </c>
    </row>
    <row r="527" spans="1:5" x14ac:dyDescent="0.25">
      <c r="A527" s="3" t="s">
        <v>8</v>
      </c>
      <c r="B527" s="3" t="s">
        <v>12</v>
      </c>
      <c r="C527" s="1">
        <v>38337</v>
      </c>
      <c r="D527" s="3">
        <v>10773</v>
      </c>
      <c r="E527" s="9">
        <v>2030.4</v>
      </c>
    </row>
    <row r="528" spans="1:5" x14ac:dyDescent="0.25">
      <c r="A528" s="3" t="s">
        <v>8</v>
      </c>
      <c r="B528" s="3" t="s">
        <v>9</v>
      </c>
      <c r="C528" s="1">
        <v>38333</v>
      </c>
      <c r="D528" s="3">
        <v>10774</v>
      </c>
      <c r="E528" s="9">
        <v>868.75</v>
      </c>
    </row>
    <row r="529" spans="1:5" x14ac:dyDescent="0.25">
      <c r="A529" s="3" t="s">
        <v>5</v>
      </c>
      <c r="B529" s="3" t="s">
        <v>15</v>
      </c>
      <c r="C529" s="1">
        <v>38347</v>
      </c>
      <c r="D529" s="3">
        <v>10775</v>
      </c>
      <c r="E529" s="9">
        <v>228</v>
      </c>
    </row>
    <row r="530" spans="1:5" x14ac:dyDescent="0.25">
      <c r="A530" s="3" t="s">
        <v>8</v>
      </c>
      <c r="B530" s="3" t="s">
        <v>12</v>
      </c>
      <c r="C530" s="1">
        <v>38339</v>
      </c>
      <c r="D530" s="3">
        <v>10776</v>
      </c>
      <c r="E530" s="9">
        <v>6635.27</v>
      </c>
    </row>
    <row r="531" spans="1:5" x14ac:dyDescent="0.25">
      <c r="A531" s="3" t="s">
        <v>5</v>
      </c>
      <c r="B531" s="3" t="s">
        <v>15</v>
      </c>
      <c r="C531" s="1">
        <v>38373</v>
      </c>
      <c r="D531" s="3">
        <v>10777</v>
      </c>
      <c r="E531" s="9">
        <v>224</v>
      </c>
    </row>
    <row r="532" spans="1:5" x14ac:dyDescent="0.25">
      <c r="A532" s="3" t="s">
        <v>8</v>
      </c>
      <c r="B532" s="3" t="s">
        <v>10</v>
      </c>
      <c r="C532" s="1">
        <v>38345</v>
      </c>
      <c r="D532" s="3">
        <v>10778</v>
      </c>
      <c r="E532" s="9">
        <v>96.5</v>
      </c>
    </row>
    <row r="533" spans="1:5" x14ac:dyDescent="0.25">
      <c r="A533" s="3" t="s">
        <v>8</v>
      </c>
      <c r="B533" s="3" t="s">
        <v>10</v>
      </c>
      <c r="C533" s="1">
        <v>38366</v>
      </c>
      <c r="D533" s="3">
        <v>10779</v>
      </c>
      <c r="E533" s="9">
        <v>1335</v>
      </c>
    </row>
    <row r="534" spans="1:5" x14ac:dyDescent="0.25">
      <c r="A534" s="3" t="s">
        <v>8</v>
      </c>
      <c r="B534" s="3" t="s">
        <v>14</v>
      </c>
      <c r="C534" s="1">
        <v>38346</v>
      </c>
      <c r="D534" s="3">
        <v>10780</v>
      </c>
      <c r="E534" s="9">
        <v>720</v>
      </c>
    </row>
    <row r="535" spans="1:5" x14ac:dyDescent="0.25">
      <c r="A535" s="3" t="s">
        <v>8</v>
      </c>
      <c r="B535" s="3" t="s">
        <v>14</v>
      </c>
      <c r="C535" s="1">
        <v>38340</v>
      </c>
      <c r="D535" s="3">
        <v>10781</v>
      </c>
      <c r="E535" s="9">
        <v>975.88</v>
      </c>
    </row>
    <row r="536" spans="1:5" x14ac:dyDescent="0.25">
      <c r="A536" s="3" t="s">
        <v>5</v>
      </c>
      <c r="B536" s="3" t="s">
        <v>11</v>
      </c>
      <c r="C536" s="1">
        <v>38343</v>
      </c>
      <c r="D536" s="3">
        <v>10782</v>
      </c>
      <c r="E536" s="9">
        <v>12.5</v>
      </c>
    </row>
    <row r="537" spans="1:5" x14ac:dyDescent="0.25">
      <c r="A537" s="3" t="s">
        <v>8</v>
      </c>
      <c r="B537" s="3" t="s">
        <v>9</v>
      </c>
      <c r="C537" s="1">
        <v>38340</v>
      </c>
      <c r="D537" s="3">
        <v>10783</v>
      </c>
      <c r="E537" s="9">
        <v>1442.5</v>
      </c>
    </row>
    <row r="538" spans="1:5" x14ac:dyDescent="0.25">
      <c r="A538" s="3" t="s">
        <v>8</v>
      </c>
      <c r="B538" s="3" t="s">
        <v>9</v>
      </c>
      <c r="C538" s="1">
        <v>38343</v>
      </c>
      <c r="D538" s="3">
        <v>10784</v>
      </c>
      <c r="E538" s="9">
        <v>1488</v>
      </c>
    </row>
    <row r="539" spans="1:5" x14ac:dyDescent="0.25">
      <c r="A539" s="3" t="s">
        <v>8</v>
      </c>
      <c r="B539" s="3" t="s">
        <v>12</v>
      </c>
      <c r="C539" s="1">
        <v>38345</v>
      </c>
      <c r="D539" s="3">
        <v>10785</v>
      </c>
      <c r="E539" s="9">
        <v>387.5</v>
      </c>
    </row>
    <row r="540" spans="1:5" x14ac:dyDescent="0.25">
      <c r="A540" s="3" t="s">
        <v>8</v>
      </c>
      <c r="B540" s="3" t="s">
        <v>13</v>
      </c>
      <c r="C540" s="1">
        <v>38344</v>
      </c>
      <c r="D540" s="3">
        <v>10786</v>
      </c>
      <c r="E540" s="9">
        <v>1531.08</v>
      </c>
    </row>
    <row r="541" spans="1:5" x14ac:dyDescent="0.25">
      <c r="A541" s="3" t="s">
        <v>8</v>
      </c>
      <c r="B541" s="3" t="s">
        <v>14</v>
      </c>
      <c r="C541" s="1">
        <v>38347</v>
      </c>
      <c r="D541" s="3">
        <v>10787</v>
      </c>
      <c r="E541" s="9">
        <v>2622.76</v>
      </c>
    </row>
    <row r="542" spans="1:5" x14ac:dyDescent="0.25">
      <c r="A542" s="3" t="s">
        <v>8</v>
      </c>
      <c r="B542" s="3" t="s">
        <v>12</v>
      </c>
      <c r="C542" s="1">
        <v>38371</v>
      </c>
      <c r="D542" s="3">
        <v>10788</v>
      </c>
      <c r="E542" s="9">
        <v>731.5</v>
      </c>
    </row>
    <row r="543" spans="1:5" x14ac:dyDescent="0.25">
      <c r="A543" s="3" t="s">
        <v>8</v>
      </c>
      <c r="B543" s="3" t="s">
        <v>12</v>
      </c>
      <c r="C543" s="1">
        <v>38352</v>
      </c>
      <c r="D543" s="3">
        <v>10789</v>
      </c>
      <c r="E543" s="9">
        <v>3687</v>
      </c>
    </row>
    <row r="544" spans="1:5" x14ac:dyDescent="0.25">
      <c r="A544" s="3" t="s">
        <v>5</v>
      </c>
      <c r="B544" s="3" t="s">
        <v>7</v>
      </c>
      <c r="C544" s="1">
        <v>38347</v>
      </c>
      <c r="D544" s="3">
        <v>10790</v>
      </c>
      <c r="E544" s="9">
        <v>722.5</v>
      </c>
    </row>
    <row r="545" spans="1:5" x14ac:dyDescent="0.25">
      <c r="A545" s="3" t="s">
        <v>5</v>
      </c>
      <c r="B545" s="3" t="s">
        <v>7</v>
      </c>
      <c r="C545" s="1">
        <v>38353</v>
      </c>
      <c r="D545" s="3">
        <v>10791</v>
      </c>
      <c r="E545" s="9">
        <v>1829.76</v>
      </c>
    </row>
    <row r="546" spans="1:5" x14ac:dyDescent="0.25">
      <c r="A546" s="3" t="s">
        <v>8</v>
      </c>
      <c r="B546" s="3" t="s">
        <v>12</v>
      </c>
      <c r="C546" s="1">
        <v>38352</v>
      </c>
      <c r="D546" s="3">
        <v>10792</v>
      </c>
      <c r="E546" s="9">
        <v>399.85</v>
      </c>
    </row>
    <row r="547" spans="1:5" x14ac:dyDescent="0.25">
      <c r="A547" s="3" t="s">
        <v>8</v>
      </c>
      <c r="B547" s="3" t="s">
        <v>10</v>
      </c>
      <c r="C547" s="1">
        <v>38360</v>
      </c>
      <c r="D547" s="3">
        <v>10793</v>
      </c>
      <c r="E547" s="9">
        <v>191.1</v>
      </c>
    </row>
    <row r="548" spans="1:5" x14ac:dyDescent="0.25">
      <c r="A548" s="3" t="s">
        <v>5</v>
      </c>
      <c r="B548" s="3" t="s">
        <v>7</v>
      </c>
      <c r="C548" s="1">
        <v>38354</v>
      </c>
      <c r="D548" s="3">
        <v>10794</v>
      </c>
      <c r="E548" s="9">
        <v>314.76</v>
      </c>
    </row>
    <row r="549" spans="1:5" x14ac:dyDescent="0.25">
      <c r="A549" s="3" t="s">
        <v>8</v>
      </c>
      <c r="B549" s="3" t="s">
        <v>13</v>
      </c>
      <c r="C549" s="1">
        <v>38372</v>
      </c>
      <c r="D549" s="3">
        <v>10795</v>
      </c>
      <c r="E549" s="9">
        <v>2158</v>
      </c>
    </row>
    <row r="550" spans="1:5" x14ac:dyDescent="0.25">
      <c r="A550" s="3" t="s">
        <v>8</v>
      </c>
      <c r="B550" s="3" t="s">
        <v>10</v>
      </c>
      <c r="C550" s="1">
        <v>38366</v>
      </c>
      <c r="D550" s="3">
        <v>10796</v>
      </c>
      <c r="E550" s="9">
        <v>2341.36</v>
      </c>
    </row>
    <row r="551" spans="1:5" x14ac:dyDescent="0.25">
      <c r="A551" s="3" t="s">
        <v>5</v>
      </c>
      <c r="B551" s="3" t="s">
        <v>15</v>
      </c>
      <c r="C551" s="1">
        <v>38357</v>
      </c>
      <c r="D551" s="3">
        <v>10797</v>
      </c>
      <c r="E551" s="9">
        <v>420</v>
      </c>
    </row>
    <row r="552" spans="1:5" x14ac:dyDescent="0.25">
      <c r="A552" s="3" t="s">
        <v>8</v>
      </c>
      <c r="B552" s="3" t="s">
        <v>14</v>
      </c>
      <c r="C552" s="1">
        <v>38357</v>
      </c>
      <c r="D552" s="3">
        <v>10798</v>
      </c>
      <c r="E552" s="9">
        <v>446.6</v>
      </c>
    </row>
    <row r="553" spans="1:5" x14ac:dyDescent="0.25">
      <c r="A553" s="3" t="s">
        <v>5</v>
      </c>
      <c r="B553" s="3" t="s">
        <v>11</v>
      </c>
      <c r="C553" s="1">
        <v>38357</v>
      </c>
      <c r="D553" s="3">
        <v>10799</v>
      </c>
      <c r="E553" s="9">
        <v>1553.5</v>
      </c>
    </row>
    <row r="554" spans="1:5" x14ac:dyDescent="0.25">
      <c r="A554" s="3" t="s">
        <v>8</v>
      </c>
      <c r="B554" s="3" t="s">
        <v>12</v>
      </c>
      <c r="C554" s="1">
        <v>38357</v>
      </c>
      <c r="D554" s="3">
        <v>10800</v>
      </c>
      <c r="E554" s="9">
        <v>1468.93</v>
      </c>
    </row>
    <row r="555" spans="1:5" x14ac:dyDescent="0.25">
      <c r="A555" s="3" t="s">
        <v>8</v>
      </c>
      <c r="B555" s="3" t="s">
        <v>9</v>
      </c>
      <c r="C555" s="1">
        <v>38352</v>
      </c>
      <c r="D555" s="3">
        <v>10801</v>
      </c>
      <c r="E555" s="9">
        <v>3026.85</v>
      </c>
    </row>
    <row r="556" spans="1:5" x14ac:dyDescent="0.25">
      <c r="A556" s="3" t="s">
        <v>8</v>
      </c>
      <c r="B556" s="3" t="s">
        <v>9</v>
      </c>
      <c r="C556" s="1">
        <v>38354</v>
      </c>
      <c r="D556" s="3">
        <v>10802</v>
      </c>
      <c r="E556" s="9">
        <v>2942.81</v>
      </c>
    </row>
    <row r="557" spans="1:5" x14ac:dyDescent="0.25">
      <c r="A557" s="3" t="s">
        <v>8</v>
      </c>
      <c r="B557" s="3" t="s">
        <v>9</v>
      </c>
      <c r="C557" s="1">
        <v>38358</v>
      </c>
      <c r="D557" s="3">
        <v>10803</v>
      </c>
      <c r="E557" s="9">
        <v>1193.01</v>
      </c>
    </row>
    <row r="558" spans="1:5" x14ac:dyDescent="0.25">
      <c r="A558" s="3" t="s">
        <v>5</v>
      </c>
      <c r="B558" s="3" t="s">
        <v>7</v>
      </c>
      <c r="C558" s="1">
        <v>38359</v>
      </c>
      <c r="D558" s="3">
        <v>10804</v>
      </c>
      <c r="E558" s="9">
        <v>2278.4</v>
      </c>
    </row>
    <row r="559" spans="1:5" x14ac:dyDescent="0.25">
      <c r="A559" s="3" t="s">
        <v>8</v>
      </c>
      <c r="B559" s="3" t="s">
        <v>14</v>
      </c>
      <c r="C559" s="1">
        <v>38361</v>
      </c>
      <c r="D559" s="3">
        <v>10805</v>
      </c>
      <c r="E559" s="9">
        <v>2775</v>
      </c>
    </row>
    <row r="560" spans="1:5" x14ac:dyDescent="0.25">
      <c r="A560" s="3" t="s">
        <v>8</v>
      </c>
      <c r="B560" s="3" t="s">
        <v>10</v>
      </c>
      <c r="C560" s="1">
        <v>38357</v>
      </c>
      <c r="D560" s="3">
        <v>10806</v>
      </c>
      <c r="E560" s="9">
        <v>439.6</v>
      </c>
    </row>
    <row r="561" spans="1:5" x14ac:dyDescent="0.25">
      <c r="A561" s="3" t="s">
        <v>8</v>
      </c>
      <c r="B561" s="3" t="s">
        <v>9</v>
      </c>
      <c r="C561" s="1">
        <v>38382</v>
      </c>
      <c r="D561" s="3">
        <v>10807</v>
      </c>
      <c r="E561" s="9">
        <v>18.399999999999999</v>
      </c>
    </row>
    <row r="562" spans="1:5" x14ac:dyDescent="0.25">
      <c r="A562" s="3" t="s">
        <v>8</v>
      </c>
      <c r="B562" s="3" t="s">
        <v>14</v>
      </c>
      <c r="C562" s="1">
        <v>38361</v>
      </c>
      <c r="D562" s="3">
        <v>10808</v>
      </c>
      <c r="E562" s="9">
        <v>1411</v>
      </c>
    </row>
    <row r="563" spans="1:5" x14ac:dyDescent="0.25">
      <c r="A563" s="3" t="s">
        <v>5</v>
      </c>
      <c r="B563" s="3" t="s">
        <v>15</v>
      </c>
      <c r="C563" s="1">
        <v>38359</v>
      </c>
      <c r="D563" s="3">
        <v>10809</v>
      </c>
      <c r="E563" s="9">
        <v>140</v>
      </c>
    </row>
    <row r="564" spans="1:5" x14ac:dyDescent="0.25">
      <c r="A564" s="3" t="s">
        <v>8</v>
      </c>
      <c r="B564" s="3" t="s">
        <v>14</v>
      </c>
      <c r="C564" s="1">
        <v>38359</v>
      </c>
      <c r="D564" s="3">
        <v>10810</v>
      </c>
      <c r="E564" s="9">
        <v>187</v>
      </c>
    </row>
    <row r="565" spans="1:5" x14ac:dyDescent="0.25">
      <c r="A565" s="3" t="s">
        <v>8</v>
      </c>
      <c r="B565" s="3" t="s">
        <v>13</v>
      </c>
      <c r="C565" s="1">
        <v>38360</v>
      </c>
      <c r="D565" s="3">
        <v>10811</v>
      </c>
      <c r="E565" s="9">
        <v>852</v>
      </c>
    </row>
    <row r="566" spans="1:5" x14ac:dyDescent="0.25">
      <c r="A566" s="3" t="s">
        <v>5</v>
      </c>
      <c r="B566" s="3" t="s">
        <v>6</v>
      </c>
      <c r="C566" s="1">
        <v>38364</v>
      </c>
      <c r="D566" s="3">
        <v>10812</v>
      </c>
      <c r="E566" s="9">
        <v>1692.8</v>
      </c>
    </row>
    <row r="567" spans="1:5" x14ac:dyDescent="0.25">
      <c r="A567" s="3" t="s">
        <v>8</v>
      </c>
      <c r="B567" s="3" t="s">
        <v>12</v>
      </c>
      <c r="C567" s="1">
        <v>38361</v>
      </c>
      <c r="D567" s="3">
        <v>10813</v>
      </c>
      <c r="E567" s="9">
        <v>602.4</v>
      </c>
    </row>
    <row r="568" spans="1:5" x14ac:dyDescent="0.25">
      <c r="A568" s="3" t="s">
        <v>8</v>
      </c>
      <c r="B568" s="3" t="s">
        <v>10</v>
      </c>
      <c r="C568" s="1">
        <v>38366</v>
      </c>
      <c r="D568" s="3">
        <v>10814</v>
      </c>
      <c r="E568" s="9">
        <v>1788.45</v>
      </c>
    </row>
    <row r="569" spans="1:5" x14ac:dyDescent="0.25">
      <c r="A569" s="3" t="s">
        <v>8</v>
      </c>
      <c r="B569" s="3" t="s">
        <v>14</v>
      </c>
      <c r="C569" s="1">
        <v>38366</v>
      </c>
      <c r="D569" s="3">
        <v>10815</v>
      </c>
      <c r="E569" s="9">
        <v>40</v>
      </c>
    </row>
    <row r="570" spans="1:5" x14ac:dyDescent="0.25">
      <c r="A570" s="3" t="s">
        <v>8</v>
      </c>
      <c r="B570" s="3" t="s">
        <v>9</v>
      </c>
      <c r="C570" s="1">
        <v>38387</v>
      </c>
      <c r="D570" s="3">
        <v>10816</v>
      </c>
      <c r="E570" s="9">
        <v>8446.4500000000007</v>
      </c>
    </row>
    <row r="571" spans="1:5" x14ac:dyDescent="0.25">
      <c r="A571" s="3" t="s">
        <v>8</v>
      </c>
      <c r="B571" s="3" t="s">
        <v>10</v>
      </c>
      <c r="C571" s="1">
        <v>38365</v>
      </c>
      <c r="D571" s="3">
        <v>10817</v>
      </c>
      <c r="E571" s="9">
        <v>10952.84</v>
      </c>
    </row>
    <row r="572" spans="1:5" x14ac:dyDescent="0.25">
      <c r="A572" s="3" t="s">
        <v>5</v>
      </c>
      <c r="B572" s="3" t="s">
        <v>15</v>
      </c>
      <c r="C572" s="1">
        <v>38364</v>
      </c>
      <c r="D572" s="3">
        <v>10818</v>
      </c>
      <c r="E572" s="9">
        <v>833</v>
      </c>
    </row>
    <row r="573" spans="1:5" x14ac:dyDescent="0.25">
      <c r="A573" s="3" t="s">
        <v>8</v>
      </c>
      <c r="B573" s="3" t="s">
        <v>14</v>
      </c>
      <c r="C573" s="1">
        <v>38368</v>
      </c>
      <c r="D573" s="3">
        <v>10819</v>
      </c>
      <c r="E573" s="9">
        <v>477</v>
      </c>
    </row>
    <row r="574" spans="1:5" x14ac:dyDescent="0.25">
      <c r="A574" s="3" t="s">
        <v>8</v>
      </c>
      <c r="B574" s="3" t="s">
        <v>10</v>
      </c>
      <c r="C574" s="1">
        <v>38365</v>
      </c>
      <c r="D574" s="3">
        <v>10820</v>
      </c>
      <c r="E574" s="9">
        <v>1140</v>
      </c>
    </row>
    <row r="575" spans="1:5" x14ac:dyDescent="0.25">
      <c r="A575" s="3" t="s">
        <v>8</v>
      </c>
      <c r="B575" s="3" t="s">
        <v>12</v>
      </c>
      <c r="C575" s="1">
        <v>38367</v>
      </c>
      <c r="D575" s="3">
        <v>10821</v>
      </c>
      <c r="E575" s="9">
        <v>678</v>
      </c>
    </row>
    <row r="576" spans="1:5" x14ac:dyDescent="0.25">
      <c r="A576" s="3" t="s">
        <v>5</v>
      </c>
      <c r="B576" s="3" t="s">
        <v>7</v>
      </c>
      <c r="C576" s="1">
        <v>38368</v>
      </c>
      <c r="D576" s="3">
        <v>10822</v>
      </c>
      <c r="E576" s="9">
        <v>237.9</v>
      </c>
    </row>
    <row r="577" spans="1:5" x14ac:dyDescent="0.25">
      <c r="A577" s="3" t="s">
        <v>5</v>
      </c>
      <c r="B577" s="3" t="s">
        <v>6</v>
      </c>
      <c r="C577" s="1">
        <v>38365</v>
      </c>
      <c r="D577" s="3">
        <v>10823</v>
      </c>
      <c r="E577" s="9">
        <v>2826</v>
      </c>
    </row>
    <row r="578" spans="1:5" x14ac:dyDescent="0.25">
      <c r="A578" s="3" t="s">
        <v>8</v>
      </c>
      <c r="B578" s="3" t="s">
        <v>13</v>
      </c>
      <c r="C578" s="1">
        <v>38382</v>
      </c>
      <c r="D578" s="3">
        <v>10824</v>
      </c>
      <c r="E578" s="9">
        <v>250.8</v>
      </c>
    </row>
    <row r="579" spans="1:5" x14ac:dyDescent="0.25">
      <c r="A579" s="3" t="s">
        <v>8</v>
      </c>
      <c r="B579" s="3" t="s">
        <v>12</v>
      </c>
      <c r="C579" s="1">
        <v>38366</v>
      </c>
      <c r="D579" s="3">
        <v>10825</v>
      </c>
      <c r="E579" s="9">
        <v>1030.76</v>
      </c>
    </row>
    <row r="580" spans="1:5" x14ac:dyDescent="0.25">
      <c r="A580" s="3" t="s">
        <v>5</v>
      </c>
      <c r="B580" s="3" t="s">
        <v>7</v>
      </c>
      <c r="C580" s="1">
        <v>38389</v>
      </c>
      <c r="D580" s="3">
        <v>10826</v>
      </c>
      <c r="E580" s="9">
        <v>730</v>
      </c>
    </row>
    <row r="581" spans="1:5" x14ac:dyDescent="0.25">
      <c r="A581" s="3" t="s">
        <v>8</v>
      </c>
      <c r="B581" s="3" t="s">
        <v>12</v>
      </c>
      <c r="C581" s="1">
        <v>38389</v>
      </c>
      <c r="D581" s="3">
        <v>10827</v>
      </c>
      <c r="E581" s="9">
        <v>843</v>
      </c>
    </row>
    <row r="582" spans="1:5" x14ac:dyDescent="0.25">
      <c r="A582" s="3" t="s">
        <v>5</v>
      </c>
      <c r="B582" s="3" t="s">
        <v>11</v>
      </c>
      <c r="C582" s="1">
        <v>38387</v>
      </c>
      <c r="D582" s="3">
        <v>10828</v>
      </c>
      <c r="E582" s="9">
        <v>932</v>
      </c>
    </row>
    <row r="583" spans="1:5" x14ac:dyDescent="0.25">
      <c r="A583" s="3" t="s">
        <v>5</v>
      </c>
      <c r="B583" s="3" t="s">
        <v>11</v>
      </c>
      <c r="C583" s="1">
        <v>38375</v>
      </c>
      <c r="D583" s="3">
        <v>10829</v>
      </c>
      <c r="E583" s="9">
        <v>1764</v>
      </c>
    </row>
    <row r="584" spans="1:5" x14ac:dyDescent="0.25">
      <c r="A584" s="3" t="s">
        <v>8</v>
      </c>
      <c r="B584" s="3" t="s">
        <v>9</v>
      </c>
      <c r="C584" s="1">
        <v>38373</v>
      </c>
      <c r="D584" s="3">
        <v>10830</v>
      </c>
      <c r="E584" s="9">
        <v>1974</v>
      </c>
    </row>
    <row r="585" spans="1:5" x14ac:dyDescent="0.25">
      <c r="A585" s="3" t="s">
        <v>8</v>
      </c>
      <c r="B585" s="3" t="s">
        <v>10</v>
      </c>
      <c r="C585" s="1">
        <v>38375</v>
      </c>
      <c r="D585" s="3">
        <v>10831</v>
      </c>
      <c r="E585" s="9">
        <v>2684.4</v>
      </c>
    </row>
    <row r="586" spans="1:5" x14ac:dyDescent="0.25">
      <c r="A586" s="3" t="s">
        <v>8</v>
      </c>
      <c r="B586" s="3" t="s">
        <v>14</v>
      </c>
      <c r="C586" s="1">
        <v>38371</v>
      </c>
      <c r="D586" s="3">
        <v>10832</v>
      </c>
      <c r="E586" s="9">
        <v>475.11</v>
      </c>
    </row>
    <row r="587" spans="1:5" x14ac:dyDescent="0.25">
      <c r="A587" s="3" t="s">
        <v>5</v>
      </c>
      <c r="B587" s="3" t="s">
        <v>7</v>
      </c>
      <c r="C587" s="1">
        <v>38375</v>
      </c>
      <c r="D587" s="3">
        <v>10833</v>
      </c>
      <c r="E587" s="9">
        <v>906.93</v>
      </c>
    </row>
    <row r="588" spans="1:5" x14ac:dyDescent="0.25">
      <c r="A588" s="3" t="s">
        <v>8</v>
      </c>
      <c r="B588" s="3" t="s">
        <v>12</v>
      </c>
      <c r="C588" s="1">
        <v>38371</v>
      </c>
      <c r="D588" s="3">
        <v>10834</v>
      </c>
      <c r="E588" s="9">
        <v>1432.71</v>
      </c>
    </row>
    <row r="589" spans="1:5" x14ac:dyDescent="0.25">
      <c r="A589" s="3" t="s">
        <v>8</v>
      </c>
      <c r="B589" s="3" t="s">
        <v>12</v>
      </c>
      <c r="C589" s="1">
        <v>38373</v>
      </c>
      <c r="D589" s="3">
        <v>10835</v>
      </c>
      <c r="E589" s="9">
        <v>845.8</v>
      </c>
    </row>
    <row r="590" spans="1:5" x14ac:dyDescent="0.25">
      <c r="A590" s="3" t="s">
        <v>5</v>
      </c>
      <c r="B590" s="3" t="s">
        <v>15</v>
      </c>
      <c r="C590" s="1">
        <v>38373</v>
      </c>
      <c r="D590" s="3">
        <v>10836</v>
      </c>
      <c r="E590" s="9">
        <v>4705.5</v>
      </c>
    </row>
    <row r="591" spans="1:5" x14ac:dyDescent="0.25">
      <c r="A591" s="3" t="s">
        <v>5</v>
      </c>
      <c r="B591" s="3" t="s">
        <v>11</v>
      </c>
      <c r="C591" s="1">
        <v>38375</v>
      </c>
      <c r="D591" s="3">
        <v>10837</v>
      </c>
      <c r="E591" s="9">
        <v>1064.5</v>
      </c>
    </row>
    <row r="592" spans="1:5" x14ac:dyDescent="0.25">
      <c r="A592" s="3" t="s">
        <v>8</v>
      </c>
      <c r="B592" s="3" t="s">
        <v>10</v>
      </c>
      <c r="C592" s="1">
        <v>38375</v>
      </c>
      <c r="D592" s="3">
        <v>10838</v>
      </c>
      <c r="E592" s="9">
        <v>1938.38</v>
      </c>
    </row>
    <row r="593" spans="1:5" x14ac:dyDescent="0.25">
      <c r="A593" s="3" t="s">
        <v>8</v>
      </c>
      <c r="B593" s="3" t="s">
        <v>10</v>
      </c>
      <c r="C593" s="1">
        <v>38374</v>
      </c>
      <c r="D593" s="3">
        <v>10839</v>
      </c>
      <c r="E593" s="9">
        <v>827.55</v>
      </c>
    </row>
    <row r="594" spans="1:5" x14ac:dyDescent="0.25">
      <c r="A594" s="3" t="s">
        <v>8</v>
      </c>
      <c r="B594" s="3" t="s">
        <v>9</v>
      </c>
      <c r="C594" s="1">
        <v>38399</v>
      </c>
      <c r="D594" s="3">
        <v>10840</v>
      </c>
      <c r="E594" s="9">
        <v>211.2</v>
      </c>
    </row>
    <row r="595" spans="1:5" x14ac:dyDescent="0.25">
      <c r="A595" s="3" t="s">
        <v>5</v>
      </c>
      <c r="B595" s="3" t="s">
        <v>6</v>
      </c>
      <c r="C595" s="1">
        <v>38381</v>
      </c>
      <c r="D595" s="3">
        <v>10841</v>
      </c>
      <c r="E595" s="9">
        <v>4581</v>
      </c>
    </row>
    <row r="596" spans="1:5" x14ac:dyDescent="0.25">
      <c r="A596" s="3" t="s">
        <v>8</v>
      </c>
      <c r="B596" s="3" t="s">
        <v>12</v>
      </c>
      <c r="C596" s="1">
        <v>38381</v>
      </c>
      <c r="D596" s="3">
        <v>10842</v>
      </c>
      <c r="E596" s="9">
        <v>975</v>
      </c>
    </row>
    <row r="597" spans="1:5" x14ac:dyDescent="0.25">
      <c r="A597" s="3" t="s">
        <v>8</v>
      </c>
      <c r="B597" s="3" t="s">
        <v>9</v>
      </c>
      <c r="C597" s="1">
        <v>38378</v>
      </c>
      <c r="D597" s="3">
        <v>10843</v>
      </c>
      <c r="E597" s="9">
        <v>159</v>
      </c>
    </row>
    <row r="598" spans="1:5" x14ac:dyDescent="0.25">
      <c r="A598" s="3" t="s">
        <v>8</v>
      </c>
      <c r="B598" s="3" t="s">
        <v>13</v>
      </c>
      <c r="C598" s="1">
        <v>38378</v>
      </c>
      <c r="D598" s="3">
        <v>10844</v>
      </c>
      <c r="E598" s="9">
        <v>735</v>
      </c>
    </row>
    <row r="599" spans="1:5" x14ac:dyDescent="0.25">
      <c r="A599" s="3" t="s">
        <v>8</v>
      </c>
      <c r="B599" s="3" t="s">
        <v>13</v>
      </c>
      <c r="C599" s="1">
        <v>38382</v>
      </c>
      <c r="D599" s="3">
        <v>10845</v>
      </c>
      <c r="E599" s="9">
        <v>3812.7</v>
      </c>
    </row>
    <row r="600" spans="1:5" x14ac:dyDescent="0.25">
      <c r="A600" s="3" t="s">
        <v>8</v>
      </c>
      <c r="B600" s="3" t="s">
        <v>14</v>
      </c>
      <c r="C600" s="1">
        <v>38375</v>
      </c>
      <c r="D600" s="3">
        <v>10846</v>
      </c>
      <c r="E600" s="9">
        <v>1112</v>
      </c>
    </row>
    <row r="601" spans="1:5" x14ac:dyDescent="0.25">
      <c r="A601" s="3" t="s">
        <v>8</v>
      </c>
      <c r="B601" s="3" t="s">
        <v>9</v>
      </c>
      <c r="C601" s="1">
        <v>38393</v>
      </c>
      <c r="D601" s="3">
        <v>10847</v>
      </c>
      <c r="E601" s="9">
        <v>4931.92</v>
      </c>
    </row>
    <row r="602" spans="1:5" x14ac:dyDescent="0.25">
      <c r="A602" s="3" t="s">
        <v>5</v>
      </c>
      <c r="B602" s="3" t="s">
        <v>15</v>
      </c>
      <c r="C602" s="1">
        <v>38381</v>
      </c>
      <c r="D602" s="3">
        <v>10848</v>
      </c>
      <c r="E602" s="9">
        <v>931.5</v>
      </c>
    </row>
    <row r="603" spans="1:5" x14ac:dyDescent="0.25">
      <c r="A603" s="3" t="s">
        <v>5</v>
      </c>
      <c r="B603" s="3" t="s">
        <v>11</v>
      </c>
      <c r="C603" s="1">
        <v>38382</v>
      </c>
      <c r="D603" s="3">
        <v>10849</v>
      </c>
      <c r="E603" s="9">
        <v>967.82</v>
      </c>
    </row>
    <row r="604" spans="1:5" x14ac:dyDescent="0.25">
      <c r="A604" s="3" t="s">
        <v>8</v>
      </c>
      <c r="B604" s="3" t="s">
        <v>12</v>
      </c>
      <c r="C604" s="1">
        <v>38382</v>
      </c>
      <c r="D604" s="3">
        <v>10850</v>
      </c>
      <c r="E604" s="9">
        <v>629</v>
      </c>
    </row>
    <row r="605" spans="1:5" x14ac:dyDescent="0.25">
      <c r="A605" s="3" t="s">
        <v>5</v>
      </c>
      <c r="B605" s="3" t="s">
        <v>6</v>
      </c>
      <c r="C605" s="1">
        <v>38385</v>
      </c>
      <c r="D605" s="3">
        <v>10851</v>
      </c>
      <c r="E605" s="9">
        <v>2603</v>
      </c>
    </row>
    <row r="606" spans="1:5" x14ac:dyDescent="0.25">
      <c r="A606" s="3" t="s">
        <v>8</v>
      </c>
      <c r="B606" s="3" t="s">
        <v>13</v>
      </c>
      <c r="C606" s="1">
        <v>38382</v>
      </c>
      <c r="D606" s="3">
        <v>10852</v>
      </c>
      <c r="E606" s="9">
        <v>2984</v>
      </c>
    </row>
    <row r="607" spans="1:5" x14ac:dyDescent="0.25">
      <c r="A607" s="3" t="s">
        <v>5</v>
      </c>
      <c r="B607" s="3" t="s">
        <v>11</v>
      </c>
      <c r="C607" s="1">
        <v>38386</v>
      </c>
      <c r="D607" s="3">
        <v>10853</v>
      </c>
      <c r="E607" s="9">
        <v>625</v>
      </c>
    </row>
    <row r="608" spans="1:5" x14ac:dyDescent="0.25">
      <c r="A608" s="3" t="s">
        <v>8</v>
      </c>
      <c r="B608" s="3" t="s">
        <v>10</v>
      </c>
      <c r="C608" s="1">
        <v>38388</v>
      </c>
      <c r="D608" s="3">
        <v>10854</v>
      </c>
      <c r="E608" s="9">
        <v>2966.5</v>
      </c>
    </row>
    <row r="609" spans="1:5" x14ac:dyDescent="0.25">
      <c r="A609" s="3" t="s">
        <v>8</v>
      </c>
      <c r="B609" s="3" t="s">
        <v>10</v>
      </c>
      <c r="C609" s="1">
        <v>38387</v>
      </c>
      <c r="D609" s="3">
        <v>10855</v>
      </c>
      <c r="E609" s="9">
        <v>2227.89</v>
      </c>
    </row>
    <row r="610" spans="1:5" x14ac:dyDescent="0.25">
      <c r="A610" s="3" t="s">
        <v>8</v>
      </c>
      <c r="B610" s="3" t="s">
        <v>10</v>
      </c>
      <c r="C610" s="1">
        <v>38393</v>
      </c>
      <c r="D610" s="3">
        <v>10856</v>
      </c>
      <c r="E610" s="9">
        <v>660</v>
      </c>
    </row>
    <row r="611" spans="1:5" x14ac:dyDescent="0.25">
      <c r="A611" s="3" t="s">
        <v>8</v>
      </c>
      <c r="B611" s="3" t="s">
        <v>13</v>
      </c>
      <c r="C611" s="1">
        <v>38389</v>
      </c>
      <c r="D611" s="3">
        <v>10857</v>
      </c>
      <c r="E611" s="9">
        <v>2048.2199999999998</v>
      </c>
    </row>
    <row r="612" spans="1:5" x14ac:dyDescent="0.25">
      <c r="A612" s="3" t="s">
        <v>8</v>
      </c>
      <c r="B612" s="3" t="s">
        <v>14</v>
      </c>
      <c r="C612" s="1">
        <v>38386</v>
      </c>
      <c r="D612" s="3">
        <v>10858</v>
      </c>
      <c r="E612" s="9">
        <v>649</v>
      </c>
    </row>
    <row r="613" spans="1:5" x14ac:dyDescent="0.25">
      <c r="A613" s="3" t="s">
        <v>8</v>
      </c>
      <c r="B613" s="3" t="s">
        <v>12</v>
      </c>
      <c r="C613" s="1">
        <v>38385</v>
      </c>
      <c r="D613" s="3">
        <v>10859</v>
      </c>
      <c r="E613" s="9">
        <v>1078.69</v>
      </c>
    </row>
    <row r="614" spans="1:5" x14ac:dyDescent="0.25">
      <c r="A614" s="3" t="s">
        <v>8</v>
      </c>
      <c r="B614" s="3" t="s">
        <v>10</v>
      </c>
      <c r="C614" s="1">
        <v>38387</v>
      </c>
      <c r="D614" s="3">
        <v>10860</v>
      </c>
      <c r="E614" s="9">
        <v>519</v>
      </c>
    </row>
    <row r="615" spans="1:5" x14ac:dyDescent="0.25">
      <c r="A615" s="3" t="s">
        <v>8</v>
      </c>
      <c r="B615" s="3" t="s">
        <v>9</v>
      </c>
      <c r="C615" s="1">
        <v>38400</v>
      </c>
      <c r="D615" s="3">
        <v>10861</v>
      </c>
      <c r="E615" s="9">
        <v>3523.4</v>
      </c>
    </row>
    <row r="616" spans="1:5" x14ac:dyDescent="0.25">
      <c r="A616" s="3" t="s">
        <v>8</v>
      </c>
      <c r="B616" s="3" t="s">
        <v>13</v>
      </c>
      <c r="C616" s="1">
        <v>38385</v>
      </c>
      <c r="D616" s="3">
        <v>10862</v>
      </c>
      <c r="E616" s="9">
        <v>581</v>
      </c>
    </row>
    <row r="617" spans="1:5" x14ac:dyDescent="0.25">
      <c r="A617" s="3" t="s">
        <v>8</v>
      </c>
      <c r="B617" s="3" t="s">
        <v>9</v>
      </c>
      <c r="C617" s="1">
        <v>38400</v>
      </c>
      <c r="D617" s="3">
        <v>10863</v>
      </c>
      <c r="E617" s="9">
        <v>441.15</v>
      </c>
    </row>
    <row r="618" spans="1:5" x14ac:dyDescent="0.25">
      <c r="A618" s="3" t="s">
        <v>8</v>
      </c>
      <c r="B618" s="3" t="s">
        <v>9</v>
      </c>
      <c r="C618" s="1">
        <v>38392</v>
      </c>
      <c r="D618" s="3">
        <v>10864</v>
      </c>
      <c r="E618" s="9">
        <v>282</v>
      </c>
    </row>
    <row r="619" spans="1:5" x14ac:dyDescent="0.25">
      <c r="A619" s="3" t="s">
        <v>8</v>
      </c>
      <c r="B619" s="3" t="s">
        <v>14</v>
      </c>
      <c r="C619" s="1">
        <v>38395</v>
      </c>
      <c r="D619" s="3">
        <v>10865</v>
      </c>
      <c r="E619" s="9">
        <v>16387.5</v>
      </c>
    </row>
    <row r="620" spans="1:5" x14ac:dyDescent="0.25">
      <c r="A620" s="3" t="s">
        <v>5</v>
      </c>
      <c r="B620" s="3" t="s">
        <v>6</v>
      </c>
      <c r="C620" s="1">
        <v>38395</v>
      </c>
      <c r="D620" s="3">
        <v>10866</v>
      </c>
      <c r="E620" s="9">
        <v>1096.2</v>
      </c>
    </row>
    <row r="621" spans="1:5" x14ac:dyDescent="0.25">
      <c r="A621" s="3" t="s">
        <v>5</v>
      </c>
      <c r="B621" s="3" t="s">
        <v>7</v>
      </c>
      <c r="C621" s="1">
        <v>38394</v>
      </c>
      <c r="D621" s="3">
        <v>10867</v>
      </c>
      <c r="E621" s="9">
        <v>98.4</v>
      </c>
    </row>
    <row r="622" spans="1:5" x14ac:dyDescent="0.25">
      <c r="A622" s="3" t="s">
        <v>5</v>
      </c>
      <c r="B622" s="3" t="s">
        <v>15</v>
      </c>
      <c r="C622" s="1">
        <v>38406</v>
      </c>
      <c r="D622" s="3">
        <v>10868</v>
      </c>
      <c r="E622" s="9">
        <v>1920.6</v>
      </c>
    </row>
    <row r="623" spans="1:5" x14ac:dyDescent="0.25">
      <c r="A623" s="3" t="s">
        <v>5</v>
      </c>
      <c r="B623" s="3" t="s">
        <v>6</v>
      </c>
      <c r="C623" s="1">
        <v>38392</v>
      </c>
      <c r="D623" s="3">
        <v>10869</v>
      </c>
      <c r="E623" s="9">
        <v>1630</v>
      </c>
    </row>
    <row r="624" spans="1:5" x14ac:dyDescent="0.25">
      <c r="A624" s="3" t="s">
        <v>5</v>
      </c>
      <c r="B624" s="3" t="s">
        <v>6</v>
      </c>
      <c r="C624" s="1">
        <v>38396</v>
      </c>
      <c r="D624" s="3">
        <v>10870</v>
      </c>
      <c r="E624" s="9">
        <v>160</v>
      </c>
    </row>
    <row r="625" spans="1:5" x14ac:dyDescent="0.25">
      <c r="A625" s="3" t="s">
        <v>5</v>
      </c>
      <c r="B625" s="3" t="s">
        <v>11</v>
      </c>
      <c r="C625" s="1">
        <v>38393</v>
      </c>
      <c r="D625" s="3">
        <v>10871</v>
      </c>
      <c r="E625" s="9">
        <v>1979.23</v>
      </c>
    </row>
    <row r="626" spans="1:5" x14ac:dyDescent="0.25">
      <c r="A626" s="3" t="s">
        <v>5</v>
      </c>
      <c r="B626" s="3" t="s">
        <v>6</v>
      </c>
      <c r="C626" s="1">
        <v>38392</v>
      </c>
      <c r="D626" s="3">
        <v>10872</v>
      </c>
      <c r="E626" s="9">
        <v>2058.46</v>
      </c>
    </row>
    <row r="627" spans="1:5" x14ac:dyDescent="0.25">
      <c r="A627" s="3" t="s">
        <v>8</v>
      </c>
      <c r="B627" s="3" t="s">
        <v>9</v>
      </c>
      <c r="C627" s="1">
        <v>38392</v>
      </c>
      <c r="D627" s="3">
        <v>10873</v>
      </c>
      <c r="E627" s="9">
        <v>336.8</v>
      </c>
    </row>
    <row r="628" spans="1:5" x14ac:dyDescent="0.25">
      <c r="A628" s="3" t="s">
        <v>5</v>
      </c>
      <c r="B628" s="3" t="s">
        <v>6</v>
      </c>
      <c r="C628" s="1">
        <v>38394</v>
      </c>
      <c r="D628" s="3">
        <v>10874</v>
      </c>
      <c r="E628" s="9">
        <v>310</v>
      </c>
    </row>
    <row r="629" spans="1:5" x14ac:dyDescent="0.25">
      <c r="A629" s="3" t="s">
        <v>8</v>
      </c>
      <c r="B629" s="3" t="s">
        <v>9</v>
      </c>
      <c r="C629" s="1">
        <v>38414</v>
      </c>
      <c r="D629" s="3">
        <v>10875</v>
      </c>
      <c r="E629" s="9">
        <v>709.55</v>
      </c>
    </row>
    <row r="630" spans="1:5" x14ac:dyDescent="0.25">
      <c r="A630" s="3" t="s">
        <v>5</v>
      </c>
      <c r="B630" s="3" t="s">
        <v>15</v>
      </c>
      <c r="C630" s="1">
        <v>38395</v>
      </c>
      <c r="D630" s="3">
        <v>10876</v>
      </c>
      <c r="E630" s="9">
        <v>917</v>
      </c>
    </row>
    <row r="631" spans="1:5" x14ac:dyDescent="0.25">
      <c r="A631" s="3" t="s">
        <v>8</v>
      </c>
      <c r="B631" s="3" t="s">
        <v>12</v>
      </c>
      <c r="C631" s="1">
        <v>38402</v>
      </c>
      <c r="D631" s="3">
        <v>10877</v>
      </c>
      <c r="E631" s="9">
        <v>1955.13</v>
      </c>
    </row>
    <row r="632" spans="1:5" x14ac:dyDescent="0.25">
      <c r="A632" s="3" t="s">
        <v>8</v>
      </c>
      <c r="B632" s="3" t="s">
        <v>9</v>
      </c>
      <c r="C632" s="1">
        <v>38395</v>
      </c>
      <c r="D632" s="3">
        <v>10878</v>
      </c>
      <c r="E632" s="9">
        <v>1539</v>
      </c>
    </row>
    <row r="633" spans="1:5" x14ac:dyDescent="0.25">
      <c r="A633" s="3" t="s">
        <v>8</v>
      </c>
      <c r="B633" s="3" t="s">
        <v>10</v>
      </c>
      <c r="C633" s="1">
        <v>38395</v>
      </c>
      <c r="D633" s="3">
        <v>10879</v>
      </c>
      <c r="E633" s="9">
        <v>611.29999999999995</v>
      </c>
    </row>
    <row r="634" spans="1:5" x14ac:dyDescent="0.25">
      <c r="A634" s="3" t="s">
        <v>5</v>
      </c>
      <c r="B634" s="3" t="s">
        <v>15</v>
      </c>
      <c r="C634" s="1">
        <v>38401</v>
      </c>
      <c r="D634" s="3">
        <v>10880</v>
      </c>
      <c r="E634" s="9">
        <v>1500</v>
      </c>
    </row>
    <row r="635" spans="1:5" x14ac:dyDescent="0.25">
      <c r="A635" s="3" t="s">
        <v>8</v>
      </c>
      <c r="B635" s="3" t="s">
        <v>9</v>
      </c>
      <c r="C635" s="1">
        <v>38401</v>
      </c>
      <c r="D635" s="3">
        <v>10881</v>
      </c>
      <c r="E635" s="9">
        <v>150</v>
      </c>
    </row>
    <row r="636" spans="1:5" x14ac:dyDescent="0.25">
      <c r="A636" s="3" t="s">
        <v>8</v>
      </c>
      <c r="B636" s="3" t="s">
        <v>9</v>
      </c>
      <c r="C636" s="1">
        <v>38403</v>
      </c>
      <c r="D636" s="3">
        <v>10882</v>
      </c>
      <c r="E636" s="9">
        <v>892.64</v>
      </c>
    </row>
    <row r="637" spans="1:5" x14ac:dyDescent="0.25">
      <c r="A637" s="3" t="s">
        <v>8</v>
      </c>
      <c r="B637" s="3" t="s">
        <v>13</v>
      </c>
      <c r="C637" s="1">
        <v>38403</v>
      </c>
      <c r="D637" s="3">
        <v>10883</v>
      </c>
      <c r="E637" s="9">
        <v>36</v>
      </c>
    </row>
    <row r="638" spans="1:5" x14ac:dyDescent="0.25">
      <c r="A638" s="3" t="s">
        <v>8</v>
      </c>
      <c r="B638" s="3" t="s">
        <v>9</v>
      </c>
      <c r="C638" s="1">
        <v>38396</v>
      </c>
      <c r="D638" s="3">
        <v>10884</v>
      </c>
      <c r="E638" s="9">
        <v>1378.07</v>
      </c>
    </row>
    <row r="639" spans="1:5" x14ac:dyDescent="0.25">
      <c r="A639" s="3" t="s">
        <v>5</v>
      </c>
      <c r="B639" s="3" t="s">
        <v>7</v>
      </c>
      <c r="C639" s="1">
        <v>38401</v>
      </c>
      <c r="D639" s="3">
        <v>10885</v>
      </c>
      <c r="E639" s="9">
        <v>1209</v>
      </c>
    </row>
    <row r="640" spans="1:5" x14ac:dyDescent="0.25">
      <c r="A640" s="3" t="s">
        <v>8</v>
      </c>
      <c r="B640" s="3" t="s">
        <v>12</v>
      </c>
      <c r="C640" s="1">
        <v>38413</v>
      </c>
      <c r="D640" s="3">
        <v>10886</v>
      </c>
      <c r="E640" s="9">
        <v>3127.5</v>
      </c>
    </row>
    <row r="641" spans="1:5" x14ac:dyDescent="0.25">
      <c r="A641" s="3" t="s">
        <v>8</v>
      </c>
      <c r="B641" s="3" t="s">
        <v>13</v>
      </c>
      <c r="C641" s="1">
        <v>38399</v>
      </c>
      <c r="D641" s="3">
        <v>10887</v>
      </c>
      <c r="E641" s="9">
        <v>70</v>
      </c>
    </row>
    <row r="642" spans="1:5" x14ac:dyDescent="0.25">
      <c r="A642" s="3" t="s">
        <v>8</v>
      </c>
      <c r="B642" s="3" t="s">
        <v>12</v>
      </c>
      <c r="C642" s="1">
        <v>38406</v>
      </c>
      <c r="D642" s="3">
        <v>10888</v>
      </c>
      <c r="E642" s="9">
        <v>605</v>
      </c>
    </row>
    <row r="643" spans="1:5" x14ac:dyDescent="0.25">
      <c r="A643" s="3" t="s">
        <v>5</v>
      </c>
      <c r="B643" s="3" t="s">
        <v>11</v>
      </c>
      <c r="C643" s="1">
        <v>38406</v>
      </c>
      <c r="D643" s="3">
        <v>10889</v>
      </c>
      <c r="E643" s="9">
        <v>11380</v>
      </c>
    </row>
    <row r="644" spans="1:5" x14ac:dyDescent="0.25">
      <c r="A644" s="3" t="s">
        <v>5</v>
      </c>
      <c r="B644" s="3" t="s">
        <v>15</v>
      </c>
      <c r="C644" s="1">
        <v>38401</v>
      </c>
      <c r="D644" s="3">
        <v>10890</v>
      </c>
      <c r="E644" s="9">
        <v>860.1</v>
      </c>
    </row>
    <row r="645" spans="1:5" x14ac:dyDescent="0.25">
      <c r="A645" s="3" t="s">
        <v>5</v>
      </c>
      <c r="B645" s="3" t="s">
        <v>15</v>
      </c>
      <c r="C645" s="1">
        <v>38402</v>
      </c>
      <c r="D645" s="3">
        <v>10891</v>
      </c>
      <c r="E645" s="9">
        <v>368.93</v>
      </c>
    </row>
    <row r="646" spans="1:5" x14ac:dyDescent="0.25">
      <c r="A646" s="3" t="s">
        <v>8</v>
      </c>
      <c r="B646" s="3" t="s">
        <v>9</v>
      </c>
      <c r="C646" s="1">
        <v>38402</v>
      </c>
      <c r="D646" s="3">
        <v>10892</v>
      </c>
      <c r="E646" s="9">
        <v>2090</v>
      </c>
    </row>
    <row r="647" spans="1:5" x14ac:dyDescent="0.25">
      <c r="A647" s="3" t="s">
        <v>5</v>
      </c>
      <c r="B647" s="3" t="s">
        <v>11</v>
      </c>
      <c r="C647" s="1">
        <v>38403</v>
      </c>
      <c r="D647" s="3">
        <v>10893</v>
      </c>
      <c r="E647" s="9">
        <v>5502.11</v>
      </c>
    </row>
    <row r="648" spans="1:5" x14ac:dyDescent="0.25">
      <c r="A648" s="3" t="s">
        <v>8</v>
      </c>
      <c r="B648" s="3" t="s">
        <v>12</v>
      </c>
      <c r="C648" s="1">
        <v>38403</v>
      </c>
      <c r="D648" s="3">
        <v>10894</v>
      </c>
      <c r="E648" s="9">
        <v>2753.1</v>
      </c>
    </row>
    <row r="649" spans="1:5" x14ac:dyDescent="0.25">
      <c r="A649" s="3" t="s">
        <v>8</v>
      </c>
      <c r="B649" s="3" t="s">
        <v>10</v>
      </c>
      <c r="C649" s="1">
        <v>38406</v>
      </c>
      <c r="D649" s="3">
        <v>10895</v>
      </c>
      <c r="E649" s="9">
        <v>6379.4</v>
      </c>
    </row>
    <row r="650" spans="1:5" x14ac:dyDescent="0.25">
      <c r="A650" s="3" t="s">
        <v>5</v>
      </c>
      <c r="B650" s="3" t="s">
        <v>15</v>
      </c>
      <c r="C650" s="1">
        <v>38410</v>
      </c>
      <c r="D650" s="3">
        <v>10896</v>
      </c>
      <c r="E650" s="9">
        <v>750.5</v>
      </c>
    </row>
    <row r="651" spans="1:5" x14ac:dyDescent="0.25">
      <c r="A651" s="3" t="s">
        <v>8</v>
      </c>
      <c r="B651" s="3" t="s">
        <v>10</v>
      </c>
      <c r="C651" s="1">
        <v>38408</v>
      </c>
      <c r="D651" s="3">
        <v>10897</v>
      </c>
      <c r="E651" s="9">
        <v>10835.24</v>
      </c>
    </row>
    <row r="652" spans="1:5" x14ac:dyDescent="0.25">
      <c r="A652" s="3" t="s">
        <v>8</v>
      </c>
      <c r="B652" s="3" t="s">
        <v>9</v>
      </c>
      <c r="C652" s="1">
        <v>38417</v>
      </c>
      <c r="D652" s="3">
        <v>10898</v>
      </c>
      <c r="E652" s="9">
        <v>30</v>
      </c>
    </row>
    <row r="653" spans="1:5" x14ac:dyDescent="0.25">
      <c r="A653" s="3" t="s">
        <v>5</v>
      </c>
      <c r="B653" s="3" t="s">
        <v>6</v>
      </c>
      <c r="C653" s="1">
        <v>38409</v>
      </c>
      <c r="D653" s="3">
        <v>10899</v>
      </c>
      <c r="E653" s="9">
        <v>122.4</v>
      </c>
    </row>
    <row r="654" spans="1:5" x14ac:dyDescent="0.25">
      <c r="A654" s="3" t="s">
        <v>8</v>
      </c>
      <c r="B654" s="3" t="s">
        <v>12</v>
      </c>
      <c r="C654" s="1">
        <v>38415</v>
      </c>
      <c r="D654" s="3">
        <v>10900</v>
      </c>
      <c r="E654" s="9">
        <v>33.75</v>
      </c>
    </row>
    <row r="655" spans="1:5" x14ac:dyDescent="0.25">
      <c r="A655" s="3" t="s">
        <v>8</v>
      </c>
      <c r="B655" s="3" t="s">
        <v>9</v>
      </c>
      <c r="C655" s="1">
        <v>38409</v>
      </c>
      <c r="D655" s="3">
        <v>10901</v>
      </c>
      <c r="E655" s="9">
        <v>934.5</v>
      </c>
    </row>
    <row r="656" spans="1:5" x14ac:dyDescent="0.25">
      <c r="A656" s="3" t="s">
        <v>8</v>
      </c>
      <c r="B656" s="3" t="s">
        <v>12</v>
      </c>
      <c r="C656" s="1">
        <v>38414</v>
      </c>
      <c r="D656" s="3">
        <v>10902</v>
      </c>
      <c r="E656" s="9">
        <v>863.43</v>
      </c>
    </row>
    <row r="657" spans="1:5" x14ac:dyDescent="0.25">
      <c r="A657" s="3" t="s">
        <v>8</v>
      </c>
      <c r="B657" s="3" t="s">
        <v>10</v>
      </c>
      <c r="C657" s="1">
        <v>38415</v>
      </c>
      <c r="D657" s="3">
        <v>10903</v>
      </c>
      <c r="E657" s="9">
        <v>932.05</v>
      </c>
    </row>
    <row r="658" spans="1:5" x14ac:dyDescent="0.25">
      <c r="A658" s="3" t="s">
        <v>8</v>
      </c>
      <c r="B658" s="3" t="s">
        <v>10</v>
      </c>
      <c r="C658" s="1">
        <v>38410</v>
      </c>
      <c r="D658" s="3">
        <v>10904</v>
      </c>
      <c r="E658" s="9">
        <v>1924.25</v>
      </c>
    </row>
    <row r="659" spans="1:5" x14ac:dyDescent="0.25">
      <c r="A659" s="3" t="s">
        <v>5</v>
      </c>
      <c r="B659" s="3" t="s">
        <v>11</v>
      </c>
      <c r="C659" s="1">
        <v>38417</v>
      </c>
      <c r="D659" s="3">
        <v>10905</v>
      </c>
      <c r="E659" s="9">
        <v>342</v>
      </c>
    </row>
    <row r="660" spans="1:5" x14ac:dyDescent="0.25">
      <c r="A660" s="3" t="s">
        <v>8</v>
      </c>
      <c r="B660" s="3" t="s">
        <v>9</v>
      </c>
      <c r="C660" s="1">
        <v>38414</v>
      </c>
      <c r="D660" s="3">
        <v>10906</v>
      </c>
      <c r="E660" s="9">
        <v>427.5</v>
      </c>
    </row>
    <row r="661" spans="1:5" x14ac:dyDescent="0.25">
      <c r="A661" s="3" t="s">
        <v>5</v>
      </c>
      <c r="B661" s="3" t="s">
        <v>7</v>
      </c>
      <c r="C661" s="1">
        <v>38410</v>
      </c>
      <c r="D661" s="3">
        <v>10907</v>
      </c>
      <c r="E661" s="9">
        <v>108.5</v>
      </c>
    </row>
    <row r="662" spans="1:5" x14ac:dyDescent="0.25">
      <c r="A662" s="3" t="s">
        <v>8</v>
      </c>
      <c r="B662" s="3" t="s">
        <v>9</v>
      </c>
      <c r="C662" s="1">
        <v>38417</v>
      </c>
      <c r="D662" s="3">
        <v>10908</v>
      </c>
      <c r="E662" s="9">
        <v>663.1</v>
      </c>
    </row>
    <row r="663" spans="1:5" x14ac:dyDescent="0.25">
      <c r="A663" s="3" t="s">
        <v>8</v>
      </c>
      <c r="B663" s="3" t="s">
        <v>12</v>
      </c>
      <c r="C663" s="1">
        <v>38421</v>
      </c>
      <c r="D663" s="3">
        <v>10909</v>
      </c>
      <c r="E663" s="9">
        <v>670</v>
      </c>
    </row>
    <row r="664" spans="1:5" x14ac:dyDescent="0.25">
      <c r="A664" s="3" t="s">
        <v>8</v>
      </c>
      <c r="B664" s="3" t="s">
        <v>12</v>
      </c>
      <c r="C664" s="1">
        <v>38415</v>
      </c>
      <c r="D664" s="3">
        <v>10910</v>
      </c>
      <c r="E664" s="9">
        <v>452.9</v>
      </c>
    </row>
    <row r="665" spans="1:5" x14ac:dyDescent="0.25">
      <c r="A665" s="3" t="s">
        <v>8</v>
      </c>
      <c r="B665" s="3" t="s">
        <v>10</v>
      </c>
      <c r="C665" s="1">
        <v>38416</v>
      </c>
      <c r="D665" s="3">
        <v>10911</v>
      </c>
      <c r="E665" s="9">
        <v>858</v>
      </c>
    </row>
    <row r="666" spans="1:5" x14ac:dyDescent="0.25">
      <c r="A666" s="3" t="s">
        <v>8</v>
      </c>
      <c r="B666" s="3" t="s">
        <v>14</v>
      </c>
      <c r="C666" s="1">
        <v>38429</v>
      </c>
      <c r="D666" s="3">
        <v>10912</v>
      </c>
      <c r="E666" s="9">
        <v>6200.55</v>
      </c>
    </row>
    <row r="667" spans="1:5" x14ac:dyDescent="0.25">
      <c r="A667" s="3" t="s">
        <v>8</v>
      </c>
      <c r="B667" s="3" t="s">
        <v>9</v>
      </c>
      <c r="C667" s="1">
        <v>38415</v>
      </c>
      <c r="D667" s="3">
        <v>10913</v>
      </c>
      <c r="E667" s="9">
        <v>768.75</v>
      </c>
    </row>
    <row r="668" spans="1:5" x14ac:dyDescent="0.25">
      <c r="A668" s="3" t="s">
        <v>5</v>
      </c>
      <c r="B668" s="3" t="s">
        <v>7</v>
      </c>
      <c r="C668" s="1">
        <v>38413</v>
      </c>
      <c r="D668" s="3">
        <v>10914</v>
      </c>
      <c r="E668" s="9">
        <v>537.5</v>
      </c>
    </row>
    <row r="669" spans="1:5" x14ac:dyDescent="0.25">
      <c r="A669" s="3" t="s">
        <v>8</v>
      </c>
      <c r="B669" s="3" t="s">
        <v>14</v>
      </c>
      <c r="C669" s="1">
        <v>38413</v>
      </c>
      <c r="D669" s="3">
        <v>10915</v>
      </c>
      <c r="E669" s="9">
        <v>539.5</v>
      </c>
    </row>
    <row r="670" spans="1:5" x14ac:dyDescent="0.25">
      <c r="A670" s="3" t="s">
        <v>8</v>
      </c>
      <c r="B670" s="3" t="s">
        <v>12</v>
      </c>
      <c r="C670" s="1">
        <v>38420</v>
      </c>
      <c r="D670" s="3">
        <v>10916</v>
      </c>
      <c r="E670" s="9">
        <v>686.7</v>
      </c>
    </row>
    <row r="671" spans="1:5" x14ac:dyDescent="0.25">
      <c r="A671" s="3" t="s">
        <v>8</v>
      </c>
      <c r="B671" s="3" t="s">
        <v>9</v>
      </c>
      <c r="C671" s="1">
        <v>38422</v>
      </c>
      <c r="D671" s="3">
        <v>10917</v>
      </c>
      <c r="E671" s="9">
        <v>365.89</v>
      </c>
    </row>
    <row r="672" spans="1:5" x14ac:dyDescent="0.25">
      <c r="A672" s="3" t="s">
        <v>8</v>
      </c>
      <c r="B672" s="3" t="s">
        <v>10</v>
      </c>
      <c r="C672" s="1">
        <v>38422</v>
      </c>
      <c r="D672" s="3">
        <v>10918</v>
      </c>
      <c r="E672" s="9">
        <v>1447.5</v>
      </c>
    </row>
    <row r="673" spans="1:5" x14ac:dyDescent="0.25">
      <c r="A673" s="3" t="s">
        <v>8</v>
      </c>
      <c r="B673" s="3" t="s">
        <v>14</v>
      </c>
      <c r="C673" s="1">
        <v>38415</v>
      </c>
      <c r="D673" s="3">
        <v>10919</v>
      </c>
      <c r="E673" s="9">
        <v>1122.8</v>
      </c>
    </row>
    <row r="674" spans="1:5" x14ac:dyDescent="0.25">
      <c r="A674" s="3" t="s">
        <v>8</v>
      </c>
      <c r="B674" s="3" t="s">
        <v>9</v>
      </c>
      <c r="C674" s="1">
        <v>38420</v>
      </c>
      <c r="D674" s="3">
        <v>10920</v>
      </c>
      <c r="E674" s="9">
        <v>390</v>
      </c>
    </row>
    <row r="675" spans="1:5" x14ac:dyDescent="0.25">
      <c r="A675" s="3" t="s">
        <v>8</v>
      </c>
      <c r="B675" s="3" t="s">
        <v>12</v>
      </c>
      <c r="C675" s="1">
        <v>38420</v>
      </c>
      <c r="D675" s="3">
        <v>10921</v>
      </c>
      <c r="E675" s="9">
        <v>1936</v>
      </c>
    </row>
    <row r="676" spans="1:5" x14ac:dyDescent="0.25">
      <c r="A676" s="3" t="s">
        <v>5</v>
      </c>
      <c r="B676" s="3" t="s">
        <v>6</v>
      </c>
      <c r="C676" s="1">
        <v>38416</v>
      </c>
      <c r="D676" s="3">
        <v>10922</v>
      </c>
      <c r="E676" s="9">
        <v>742.5</v>
      </c>
    </row>
    <row r="677" spans="1:5" x14ac:dyDescent="0.25">
      <c r="A677" s="3" t="s">
        <v>5</v>
      </c>
      <c r="B677" s="3" t="s">
        <v>15</v>
      </c>
      <c r="C677" s="1">
        <v>38424</v>
      </c>
      <c r="D677" s="3">
        <v>10923</v>
      </c>
      <c r="E677" s="9">
        <v>748.8</v>
      </c>
    </row>
    <row r="678" spans="1:5" x14ac:dyDescent="0.25">
      <c r="A678" s="3" t="s">
        <v>8</v>
      </c>
      <c r="B678" s="3" t="s">
        <v>10</v>
      </c>
      <c r="C678" s="1">
        <v>38450</v>
      </c>
      <c r="D678" s="3">
        <v>10924</v>
      </c>
      <c r="E678" s="9">
        <v>1835.7</v>
      </c>
    </row>
    <row r="679" spans="1:5" x14ac:dyDescent="0.25">
      <c r="A679" s="3" t="s">
        <v>8</v>
      </c>
      <c r="B679" s="3" t="s">
        <v>10</v>
      </c>
      <c r="C679" s="1">
        <v>38424</v>
      </c>
      <c r="D679" s="3">
        <v>10925</v>
      </c>
      <c r="E679" s="9">
        <v>475.15</v>
      </c>
    </row>
    <row r="680" spans="1:5" x14ac:dyDescent="0.25">
      <c r="A680" s="3" t="s">
        <v>8</v>
      </c>
      <c r="B680" s="3" t="s">
        <v>9</v>
      </c>
      <c r="C680" s="1">
        <v>38422</v>
      </c>
      <c r="D680" s="3">
        <v>10926</v>
      </c>
      <c r="E680" s="9">
        <v>514.4</v>
      </c>
    </row>
    <row r="681" spans="1:5" x14ac:dyDescent="0.25">
      <c r="A681" s="3" t="s">
        <v>8</v>
      </c>
      <c r="B681" s="3" t="s">
        <v>9</v>
      </c>
      <c r="C681" s="1">
        <v>38450</v>
      </c>
      <c r="D681" s="3">
        <v>10927</v>
      </c>
      <c r="E681" s="9">
        <v>800</v>
      </c>
    </row>
    <row r="682" spans="1:5" x14ac:dyDescent="0.25">
      <c r="A682" s="3" t="s">
        <v>8</v>
      </c>
      <c r="B682" s="3" t="s">
        <v>12</v>
      </c>
      <c r="C682" s="1">
        <v>38429</v>
      </c>
      <c r="D682" s="3">
        <v>10928</v>
      </c>
      <c r="E682" s="9">
        <v>137.5</v>
      </c>
    </row>
    <row r="683" spans="1:5" x14ac:dyDescent="0.25">
      <c r="A683" s="3" t="s">
        <v>5</v>
      </c>
      <c r="B683" s="3" t="s">
        <v>7</v>
      </c>
      <c r="C683" s="1">
        <v>38423</v>
      </c>
      <c r="D683" s="3">
        <v>10929</v>
      </c>
      <c r="E683" s="9">
        <v>1174.75</v>
      </c>
    </row>
    <row r="684" spans="1:5" x14ac:dyDescent="0.25">
      <c r="A684" s="3" t="s">
        <v>8</v>
      </c>
      <c r="B684" s="3" t="s">
        <v>9</v>
      </c>
      <c r="C684" s="1">
        <v>38429</v>
      </c>
      <c r="D684" s="3">
        <v>10930</v>
      </c>
      <c r="E684" s="9">
        <v>2255.5</v>
      </c>
    </row>
    <row r="685" spans="1:5" x14ac:dyDescent="0.25">
      <c r="A685" s="3" t="s">
        <v>8</v>
      </c>
      <c r="B685" s="3" t="s">
        <v>9</v>
      </c>
      <c r="C685" s="1">
        <v>38430</v>
      </c>
      <c r="D685" s="3">
        <v>10931</v>
      </c>
      <c r="E685" s="9">
        <v>799.2</v>
      </c>
    </row>
    <row r="686" spans="1:5" x14ac:dyDescent="0.25">
      <c r="A686" s="3" t="s">
        <v>8</v>
      </c>
      <c r="B686" s="3" t="s">
        <v>13</v>
      </c>
      <c r="C686" s="1">
        <v>38435</v>
      </c>
      <c r="D686" s="3">
        <v>10932</v>
      </c>
      <c r="E686" s="9">
        <v>1788.63</v>
      </c>
    </row>
    <row r="687" spans="1:5" x14ac:dyDescent="0.25">
      <c r="A687" s="3" t="s">
        <v>5</v>
      </c>
      <c r="B687" s="3" t="s">
        <v>7</v>
      </c>
      <c r="C687" s="1">
        <v>38427</v>
      </c>
      <c r="D687" s="3">
        <v>10933</v>
      </c>
      <c r="E687" s="9">
        <v>920.6</v>
      </c>
    </row>
    <row r="688" spans="1:5" x14ac:dyDescent="0.25">
      <c r="A688" s="3" t="s">
        <v>8</v>
      </c>
      <c r="B688" s="3" t="s">
        <v>10</v>
      </c>
      <c r="C688" s="1">
        <v>38423</v>
      </c>
      <c r="D688" s="3">
        <v>10934</v>
      </c>
      <c r="E688" s="9">
        <v>500</v>
      </c>
    </row>
    <row r="689" spans="1:5" x14ac:dyDescent="0.25">
      <c r="A689" s="3" t="s">
        <v>8</v>
      </c>
      <c r="B689" s="3" t="s">
        <v>9</v>
      </c>
      <c r="C689" s="1">
        <v>38429</v>
      </c>
      <c r="D689" s="3">
        <v>10935</v>
      </c>
      <c r="E689" s="9">
        <v>619.5</v>
      </c>
    </row>
    <row r="690" spans="1:5" x14ac:dyDescent="0.25">
      <c r="A690" s="3" t="s">
        <v>8</v>
      </c>
      <c r="B690" s="3" t="s">
        <v>10</v>
      </c>
      <c r="C690" s="1">
        <v>38429</v>
      </c>
      <c r="D690" s="3">
        <v>10936</v>
      </c>
      <c r="E690" s="9">
        <v>456</v>
      </c>
    </row>
    <row r="691" spans="1:5" x14ac:dyDescent="0.25">
      <c r="A691" s="3" t="s">
        <v>5</v>
      </c>
      <c r="B691" s="3" t="s">
        <v>15</v>
      </c>
      <c r="C691" s="1">
        <v>38424</v>
      </c>
      <c r="D691" s="3">
        <v>10937</v>
      </c>
      <c r="E691" s="9">
        <v>644.79999999999995</v>
      </c>
    </row>
    <row r="692" spans="1:5" x14ac:dyDescent="0.25">
      <c r="A692" s="3" t="s">
        <v>8</v>
      </c>
      <c r="B692" s="3" t="s">
        <v>10</v>
      </c>
      <c r="C692" s="1">
        <v>38427</v>
      </c>
      <c r="D692" s="3">
        <v>10938</v>
      </c>
      <c r="E692" s="9">
        <v>2731.87</v>
      </c>
    </row>
    <row r="693" spans="1:5" x14ac:dyDescent="0.25">
      <c r="A693" s="3" t="s">
        <v>8</v>
      </c>
      <c r="B693" s="3" t="s">
        <v>14</v>
      </c>
      <c r="C693" s="1">
        <v>38424</v>
      </c>
      <c r="D693" s="3">
        <v>10939</v>
      </c>
      <c r="E693" s="9">
        <v>637.5</v>
      </c>
    </row>
    <row r="694" spans="1:5" x14ac:dyDescent="0.25">
      <c r="A694" s="3" t="s">
        <v>8</v>
      </c>
      <c r="B694" s="3" t="s">
        <v>13</v>
      </c>
      <c r="C694" s="1">
        <v>38434</v>
      </c>
      <c r="D694" s="3">
        <v>10940</v>
      </c>
      <c r="E694" s="9">
        <v>360</v>
      </c>
    </row>
    <row r="695" spans="1:5" x14ac:dyDescent="0.25">
      <c r="A695" s="3" t="s">
        <v>5</v>
      </c>
      <c r="B695" s="3" t="s">
        <v>15</v>
      </c>
      <c r="C695" s="1">
        <v>38431</v>
      </c>
      <c r="D695" s="3">
        <v>10941</v>
      </c>
      <c r="E695" s="9">
        <v>4011.75</v>
      </c>
    </row>
    <row r="696" spans="1:5" x14ac:dyDescent="0.25">
      <c r="A696" s="3" t="s">
        <v>5</v>
      </c>
      <c r="B696" s="3" t="s">
        <v>11</v>
      </c>
      <c r="C696" s="1">
        <v>38429</v>
      </c>
      <c r="D696" s="3">
        <v>10942</v>
      </c>
      <c r="E696" s="9">
        <v>560</v>
      </c>
    </row>
    <row r="697" spans="1:5" x14ac:dyDescent="0.25">
      <c r="A697" s="3" t="s">
        <v>8</v>
      </c>
      <c r="B697" s="3" t="s">
        <v>9</v>
      </c>
      <c r="C697" s="1">
        <v>38430</v>
      </c>
      <c r="D697" s="3">
        <v>10943</v>
      </c>
      <c r="E697" s="9">
        <v>711</v>
      </c>
    </row>
    <row r="698" spans="1:5" x14ac:dyDescent="0.25">
      <c r="A698" s="3" t="s">
        <v>5</v>
      </c>
      <c r="B698" s="3" t="s">
        <v>7</v>
      </c>
      <c r="C698" s="1">
        <v>38424</v>
      </c>
      <c r="D698" s="3">
        <v>10944</v>
      </c>
      <c r="E698" s="9">
        <v>1025.33</v>
      </c>
    </row>
    <row r="699" spans="1:5" x14ac:dyDescent="0.25">
      <c r="A699" s="3" t="s">
        <v>8</v>
      </c>
      <c r="B699" s="3" t="s">
        <v>9</v>
      </c>
      <c r="C699" s="1">
        <v>38429</v>
      </c>
      <c r="D699" s="3">
        <v>10945</v>
      </c>
      <c r="E699" s="9">
        <v>245</v>
      </c>
    </row>
    <row r="700" spans="1:5" x14ac:dyDescent="0.25">
      <c r="A700" s="3" t="s">
        <v>8</v>
      </c>
      <c r="B700" s="3" t="s">
        <v>12</v>
      </c>
      <c r="C700" s="1">
        <v>38430</v>
      </c>
      <c r="D700" s="3">
        <v>10946</v>
      </c>
      <c r="E700" s="9">
        <v>1407.5</v>
      </c>
    </row>
    <row r="701" spans="1:5" x14ac:dyDescent="0.25">
      <c r="A701" s="3" t="s">
        <v>8</v>
      </c>
      <c r="B701" s="3" t="s">
        <v>10</v>
      </c>
      <c r="C701" s="1">
        <v>38427</v>
      </c>
      <c r="D701" s="3">
        <v>10947</v>
      </c>
      <c r="E701" s="9">
        <v>220</v>
      </c>
    </row>
    <row r="702" spans="1:5" x14ac:dyDescent="0.25">
      <c r="A702" s="3" t="s">
        <v>8</v>
      </c>
      <c r="B702" s="3" t="s">
        <v>10</v>
      </c>
      <c r="C702" s="1">
        <v>38430</v>
      </c>
      <c r="D702" s="3">
        <v>10948</v>
      </c>
      <c r="E702" s="9">
        <v>2362.25</v>
      </c>
    </row>
    <row r="703" spans="1:5" x14ac:dyDescent="0.25">
      <c r="A703" s="3" t="s">
        <v>8</v>
      </c>
      <c r="B703" s="3" t="s">
        <v>14</v>
      </c>
      <c r="C703" s="1">
        <v>38428</v>
      </c>
      <c r="D703" s="3">
        <v>10949</v>
      </c>
      <c r="E703" s="9">
        <v>4422</v>
      </c>
    </row>
    <row r="704" spans="1:5" x14ac:dyDescent="0.25">
      <c r="A704" s="3" t="s">
        <v>8</v>
      </c>
      <c r="B704" s="3" t="s">
        <v>12</v>
      </c>
      <c r="C704" s="1">
        <v>38434</v>
      </c>
      <c r="D704" s="3">
        <v>10950</v>
      </c>
      <c r="E704" s="9">
        <v>110</v>
      </c>
    </row>
    <row r="705" spans="1:5" x14ac:dyDescent="0.25">
      <c r="A705" s="3" t="s">
        <v>5</v>
      </c>
      <c r="B705" s="3" t="s">
        <v>11</v>
      </c>
      <c r="C705" s="1">
        <v>38449</v>
      </c>
      <c r="D705" s="3">
        <v>10951</v>
      </c>
      <c r="E705" s="9">
        <v>458.74</v>
      </c>
    </row>
    <row r="706" spans="1:5" x14ac:dyDescent="0.25">
      <c r="A706" s="3" t="s">
        <v>8</v>
      </c>
      <c r="B706" s="3" t="s">
        <v>12</v>
      </c>
      <c r="C706" s="1">
        <v>38435</v>
      </c>
      <c r="D706" s="3">
        <v>10952</v>
      </c>
      <c r="E706" s="9">
        <v>471.2</v>
      </c>
    </row>
    <row r="707" spans="1:5" x14ac:dyDescent="0.25">
      <c r="A707" s="3" t="s">
        <v>5</v>
      </c>
      <c r="B707" s="3" t="s">
        <v>11</v>
      </c>
      <c r="C707" s="1">
        <v>38436</v>
      </c>
      <c r="D707" s="3">
        <v>10953</v>
      </c>
      <c r="E707" s="9">
        <v>4441.25</v>
      </c>
    </row>
    <row r="708" spans="1:5" x14ac:dyDescent="0.25">
      <c r="A708" s="3" t="s">
        <v>5</v>
      </c>
      <c r="B708" s="3" t="s">
        <v>6</v>
      </c>
      <c r="C708" s="1">
        <v>38431</v>
      </c>
      <c r="D708" s="3">
        <v>10954</v>
      </c>
      <c r="E708" s="9">
        <v>1659.53</v>
      </c>
    </row>
    <row r="709" spans="1:5" x14ac:dyDescent="0.25">
      <c r="A709" s="3" t="s">
        <v>8</v>
      </c>
      <c r="B709" s="3" t="s">
        <v>13</v>
      </c>
      <c r="C709" s="1">
        <v>38431</v>
      </c>
      <c r="D709" s="3">
        <v>10955</v>
      </c>
      <c r="E709" s="9">
        <v>74.400000000000006</v>
      </c>
    </row>
    <row r="710" spans="1:5" x14ac:dyDescent="0.25">
      <c r="A710" s="3" t="s">
        <v>5</v>
      </c>
      <c r="B710" s="3" t="s">
        <v>7</v>
      </c>
      <c r="C710" s="1">
        <v>38431</v>
      </c>
      <c r="D710" s="3">
        <v>10956</v>
      </c>
      <c r="E710" s="9">
        <v>677</v>
      </c>
    </row>
    <row r="711" spans="1:5" x14ac:dyDescent="0.25">
      <c r="A711" s="3" t="s">
        <v>8</v>
      </c>
      <c r="B711" s="3" t="s">
        <v>13</v>
      </c>
      <c r="C711" s="1">
        <v>38438</v>
      </c>
      <c r="D711" s="3">
        <v>10957</v>
      </c>
      <c r="E711" s="9">
        <v>1762.7</v>
      </c>
    </row>
    <row r="712" spans="1:5" x14ac:dyDescent="0.25">
      <c r="A712" s="3" t="s">
        <v>5</v>
      </c>
      <c r="B712" s="3" t="s">
        <v>15</v>
      </c>
      <c r="C712" s="1">
        <v>38438</v>
      </c>
      <c r="D712" s="3">
        <v>10958</v>
      </c>
      <c r="E712" s="9">
        <v>781</v>
      </c>
    </row>
    <row r="713" spans="1:5" x14ac:dyDescent="0.25">
      <c r="A713" s="3" t="s">
        <v>5</v>
      </c>
      <c r="B713" s="3" t="s">
        <v>7</v>
      </c>
      <c r="C713" s="1">
        <v>38434</v>
      </c>
      <c r="D713" s="3">
        <v>10959</v>
      </c>
      <c r="E713" s="9">
        <v>131.75</v>
      </c>
    </row>
    <row r="714" spans="1:5" x14ac:dyDescent="0.25">
      <c r="A714" s="3" t="s">
        <v>8</v>
      </c>
      <c r="B714" s="3" t="s">
        <v>10</v>
      </c>
      <c r="C714" s="1">
        <v>38450</v>
      </c>
      <c r="D714" s="3">
        <v>10960</v>
      </c>
      <c r="E714" s="9">
        <v>265.35000000000002</v>
      </c>
    </row>
    <row r="715" spans="1:5" x14ac:dyDescent="0.25">
      <c r="A715" s="3" t="s">
        <v>8</v>
      </c>
      <c r="B715" s="3" t="s">
        <v>13</v>
      </c>
      <c r="C715" s="1">
        <v>38441</v>
      </c>
      <c r="D715" s="3">
        <v>10961</v>
      </c>
      <c r="E715" s="9">
        <v>1119.9000000000001</v>
      </c>
    </row>
    <row r="716" spans="1:5" x14ac:dyDescent="0.25">
      <c r="A716" s="3" t="s">
        <v>8</v>
      </c>
      <c r="B716" s="3" t="s">
        <v>13</v>
      </c>
      <c r="C716" s="1">
        <v>38434</v>
      </c>
      <c r="D716" s="3">
        <v>10962</v>
      </c>
      <c r="E716" s="9">
        <v>3584</v>
      </c>
    </row>
    <row r="717" spans="1:5" x14ac:dyDescent="0.25">
      <c r="A717" s="3" t="s">
        <v>5</v>
      </c>
      <c r="B717" s="3" t="s">
        <v>11</v>
      </c>
      <c r="C717" s="1">
        <v>38437</v>
      </c>
      <c r="D717" s="3">
        <v>10963</v>
      </c>
      <c r="E717" s="9">
        <v>57.8</v>
      </c>
    </row>
    <row r="718" spans="1:5" x14ac:dyDescent="0.25">
      <c r="A718" s="3" t="s">
        <v>8</v>
      </c>
      <c r="B718" s="3" t="s">
        <v>10</v>
      </c>
      <c r="C718" s="1">
        <v>38435</v>
      </c>
      <c r="D718" s="3">
        <v>10964</v>
      </c>
      <c r="E718" s="9">
        <v>2052.5</v>
      </c>
    </row>
    <row r="719" spans="1:5" x14ac:dyDescent="0.25">
      <c r="A719" s="3" t="s">
        <v>5</v>
      </c>
      <c r="B719" s="3" t="s">
        <v>7</v>
      </c>
      <c r="C719" s="1">
        <v>38441</v>
      </c>
      <c r="D719" s="3">
        <v>10965</v>
      </c>
      <c r="E719" s="9">
        <v>848</v>
      </c>
    </row>
    <row r="720" spans="1:5" x14ac:dyDescent="0.25">
      <c r="A720" s="3" t="s">
        <v>8</v>
      </c>
      <c r="B720" s="3" t="s">
        <v>9</v>
      </c>
      <c r="C720" s="1">
        <v>38450</v>
      </c>
      <c r="D720" s="3">
        <v>10966</v>
      </c>
      <c r="E720" s="9">
        <v>1098.46</v>
      </c>
    </row>
    <row r="721" spans="1:5" x14ac:dyDescent="0.25">
      <c r="A721" s="3" t="s">
        <v>8</v>
      </c>
      <c r="B721" s="3" t="s">
        <v>14</v>
      </c>
      <c r="C721" s="1">
        <v>38444</v>
      </c>
      <c r="D721" s="3">
        <v>10967</v>
      </c>
      <c r="E721" s="9">
        <v>910.4</v>
      </c>
    </row>
    <row r="722" spans="1:5" x14ac:dyDescent="0.25">
      <c r="A722" s="3" t="s">
        <v>8</v>
      </c>
      <c r="B722" s="3" t="s">
        <v>12</v>
      </c>
      <c r="C722" s="1">
        <v>38443</v>
      </c>
      <c r="D722" s="3">
        <v>10968</v>
      </c>
      <c r="E722" s="9">
        <v>1408</v>
      </c>
    </row>
    <row r="723" spans="1:5" x14ac:dyDescent="0.25">
      <c r="A723" s="3" t="s">
        <v>8</v>
      </c>
      <c r="B723" s="3" t="s">
        <v>12</v>
      </c>
      <c r="C723" s="1">
        <v>38441</v>
      </c>
      <c r="D723" s="3">
        <v>10969</v>
      </c>
      <c r="E723" s="9">
        <v>108</v>
      </c>
    </row>
    <row r="724" spans="1:5" x14ac:dyDescent="0.25">
      <c r="A724" s="3" t="s">
        <v>5</v>
      </c>
      <c r="B724" s="3" t="s">
        <v>11</v>
      </c>
      <c r="C724" s="1">
        <v>38466</v>
      </c>
      <c r="D724" s="3">
        <v>10970</v>
      </c>
      <c r="E724" s="9">
        <v>224</v>
      </c>
    </row>
    <row r="725" spans="1:5" x14ac:dyDescent="0.25">
      <c r="A725" s="3" t="s">
        <v>8</v>
      </c>
      <c r="B725" s="3" t="s">
        <v>14</v>
      </c>
      <c r="C725" s="1">
        <v>38444</v>
      </c>
      <c r="D725" s="3">
        <v>10971</v>
      </c>
      <c r="E725" s="9">
        <v>1733.06</v>
      </c>
    </row>
    <row r="726" spans="1:5" x14ac:dyDescent="0.25">
      <c r="A726" s="3" t="s">
        <v>8</v>
      </c>
      <c r="B726" s="3" t="s">
        <v>9</v>
      </c>
      <c r="C726" s="1">
        <v>38437</v>
      </c>
      <c r="D726" s="3">
        <v>10972</v>
      </c>
      <c r="E726" s="9">
        <v>251.5</v>
      </c>
    </row>
    <row r="727" spans="1:5" x14ac:dyDescent="0.25">
      <c r="A727" s="3" t="s">
        <v>5</v>
      </c>
      <c r="B727" s="3" t="s">
        <v>7</v>
      </c>
      <c r="C727" s="1">
        <v>38438</v>
      </c>
      <c r="D727" s="3">
        <v>10973</v>
      </c>
      <c r="E727" s="9">
        <v>291.55</v>
      </c>
    </row>
    <row r="728" spans="1:5" x14ac:dyDescent="0.25">
      <c r="A728" s="3" t="s">
        <v>8</v>
      </c>
      <c r="B728" s="3" t="s">
        <v>10</v>
      </c>
      <c r="C728" s="1">
        <v>38445</v>
      </c>
      <c r="D728" s="3">
        <v>10974</v>
      </c>
      <c r="E728" s="9">
        <v>439</v>
      </c>
    </row>
    <row r="729" spans="1:5" x14ac:dyDescent="0.25">
      <c r="A729" s="3" t="s">
        <v>8</v>
      </c>
      <c r="B729" s="3" t="s">
        <v>12</v>
      </c>
      <c r="C729" s="1">
        <v>38438</v>
      </c>
      <c r="D729" s="3">
        <v>10975</v>
      </c>
      <c r="E729" s="9">
        <v>717.5</v>
      </c>
    </row>
    <row r="730" spans="1:5" x14ac:dyDescent="0.25">
      <c r="A730" s="3" t="s">
        <v>8</v>
      </c>
      <c r="B730" s="3" t="s">
        <v>12</v>
      </c>
      <c r="C730" s="1">
        <v>38445</v>
      </c>
      <c r="D730" s="3">
        <v>10976</v>
      </c>
      <c r="E730" s="9">
        <v>912</v>
      </c>
    </row>
    <row r="731" spans="1:5" x14ac:dyDescent="0.25">
      <c r="A731" s="3" t="s">
        <v>8</v>
      </c>
      <c r="B731" s="3" t="s">
        <v>13</v>
      </c>
      <c r="C731" s="1">
        <v>38452</v>
      </c>
      <c r="D731" s="3">
        <v>10977</v>
      </c>
      <c r="E731" s="9">
        <v>2233</v>
      </c>
    </row>
    <row r="732" spans="1:5" x14ac:dyDescent="0.25">
      <c r="A732" s="3" t="s">
        <v>5</v>
      </c>
      <c r="B732" s="3" t="s">
        <v>11</v>
      </c>
      <c r="C732" s="1">
        <v>38465</v>
      </c>
      <c r="D732" s="3">
        <v>10978</v>
      </c>
      <c r="E732" s="9">
        <v>1303.19</v>
      </c>
    </row>
    <row r="733" spans="1:5" x14ac:dyDescent="0.25">
      <c r="A733" s="3" t="s">
        <v>8</v>
      </c>
      <c r="B733" s="3" t="s">
        <v>13</v>
      </c>
      <c r="C733" s="1">
        <v>38442</v>
      </c>
      <c r="D733" s="3">
        <v>10979</v>
      </c>
      <c r="E733" s="9">
        <v>4813.5</v>
      </c>
    </row>
    <row r="734" spans="1:5" x14ac:dyDescent="0.25">
      <c r="A734" s="3" t="s">
        <v>8</v>
      </c>
      <c r="B734" s="3" t="s">
        <v>9</v>
      </c>
      <c r="C734" s="1">
        <v>38459</v>
      </c>
      <c r="D734" s="3">
        <v>10980</v>
      </c>
      <c r="E734" s="9">
        <v>248</v>
      </c>
    </row>
    <row r="735" spans="1:5" x14ac:dyDescent="0.25">
      <c r="A735" s="3" t="s">
        <v>8</v>
      </c>
      <c r="B735" s="3" t="s">
        <v>12</v>
      </c>
      <c r="C735" s="1">
        <v>38444</v>
      </c>
      <c r="D735" s="3">
        <v>10981</v>
      </c>
      <c r="E735" s="9">
        <v>15810</v>
      </c>
    </row>
    <row r="736" spans="1:5" x14ac:dyDescent="0.25">
      <c r="A736" s="3" t="s">
        <v>8</v>
      </c>
      <c r="B736" s="3" t="s">
        <v>14</v>
      </c>
      <c r="C736" s="1">
        <v>38450</v>
      </c>
      <c r="D736" s="3">
        <v>10982</v>
      </c>
      <c r="E736" s="9">
        <v>1014</v>
      </c>
    </row>
    <row r="737" spans="1:5" x14ac:dyDescent="0.25">
      <c r="A737" s="3" t="s">
        <v>8</v>
      </c>
      <c r="B737" s="3" t="s">
        <v>14</v>
      </c>
      <c r="C737" s="1">
        <v>38448</v>
      </c>
      <c r="D737" s="3">
        <v>10983</v>
      </c>
      <c r="E737" s="9">
        <v>720.9</v>
      </c>
    </row>
    <row r="738" spans="1:5" x14ac:dyDescent="0.25">
      <c r="A738" s="3" t="s">
        <v>8</v>
      </c>
      <c r="B738" s="3" t="s">
        <v>12</v>
      </c>
      <c r="C738" s="1">
        <v>38445</v>
      </c>
      <c r="D738" s="3">
        <v>10984</v>
      </c>
      <c r="E738" s="9">
        <v>1809.75</v>
      </c>
    </row>
    <row r="739" spans="1:5" x14ac:dyDescent="0.25">
      <c r="A739" s="3" t="s">
        <v>8</v>
      </c>
      <c r="B739" s="3" t="s">
        <v>14</v>
      </c>
      <c r="C739" s="1">
        <v>38444</v>
      </c>
      <c r="D739" s="3">
        <v>10985</v>
      </c>
      <c r="E739" s="9">
        <v>2023.38</v>
      </c>
    </row>
    <row r="740" spans="1:5" x14ac:dyDescent="0.25">
      <c r="A740" s="3" t="s">
        <v>8</v>
      </c>
      <c r="B740" s="3" t="s">
        <v>13</v>
      </c>
      <c r="C740" s="1">
        <v>38463</v>
      </c>
      <c r="D740" s="3">
        <v>10986</v>
      </c>
      <c r="E740" s="9">
        <v>2220</v>
      </c>
    </row>
    <row r="741" spans="1:5" x14ac:dyDescent="0.25">
      <c r="A741" s="3" t="s">
        <v>8</v>
      </c>
      <c r="B741" s="3" t="s">
        <v>13</v>
      </c>
      <c r="C741" s="1">
        <v>38448</v>
      </c>
      <c r="D741" s="3">
        <v>10987</v>
      </c>
      <c r="E741" s="9">
        <v>2772</v>
      </c>
    </row>
    <row r="742" spans="1:5" x14ac:dyDescent="0.25">
      <c r="A742" s="3" t="s">
        <v>8</v>
      </c>
      <c r="B742" s="3" t="s">
        <v>10</v>
      </c>
      <c r="C742" s="1">
        <v>38452</v>
      </c>
      <c r="D742" s="3">
        <v>10988</v>
      </c>
      <c r="E742" s="9">
        <v>3574.8</v>
      </c>
    </row>
    <row r="743" spans="1:5" x14ac:dyDescent="0.25">
      <c r="A743" s="3" t="s">
        <v>8</v>
      </c>
      <c r="B743" s="3" t="s">
        <v>14</v>
      </c>
      <c r="C743" s="1">
        <v>38444</v>
      </c>
      <c r="D743" s="3">
        <v>10989</v>
      </c>
      <c r="E743" s="9">
        <v>1353.6</v>
      </c>
    </row>
    <row r="744" spans="1:5" x14ac:dyDescent="0.25">
      <c r="A744" s="3" t="s">
        <v>8</v>
      </c>
      <c r="B744" s="3" t="s">
        <v>14</v>
      </c>
      <c r="C744" s="1">
        <v>38449</v>
      </c>
      <c r="D744" s="3">
        <v>10990</v>
      </c>
      <c r="E744" s="9">
        <v>4288.8500000000004</v>
      </c>
    </row>
    <row r="745" spans="1:5" x14ac:dyDescent="0.25">
      <c r="A745" s="3" t="s">
        <v>8</v>
      </c>
      <c r="B745" s="3" t="s">
        <v>12</v>
      </c>
      <c r="C745" s="1">
        <v>38449</v>
      </c>
      <c r="D745" s="3">
        <v>10991</v>
      </c>
      <c r="E745" s="9">
        <v>2296</v>
      </c>
    </row>
    <row r="746" spans="1:5" x14ac:dyDescent="0.25">
      <c r="A746" s="3" t="s">
        <v>8</v>
      </c>
      <c r="B746" s="3" t="s">
        <v>12</v>
      </c>
      <c r="C746" s="1">
        <v>38445</v>
      </c>
      <c r="D746" s="3">
        <v>10992</v>
      </c>
      <c r="E746" s="9">
        <v>69.599999999999994</v>
      </c>
    </row>
    <row r="747" spans="1:5" x14ac:dyDescent="0.25">
      <c r="A747" s="3" t="s">
        <v>5</v>
      </c>
      <c r="B747" s="3" t="s">
        <v>15</v>
      </c>
      <c r="C747" s="1">
        <v>38452</v>
      </c>
      <c r="D747" s="3">
        <v>10993</v>
      </c>
      <c r="E747" s="9">
        <v>4895.4399999999996</v>
      </c>
    </row>
    <row r="748" spans="1:5" x14ac:dyDescent="0.25">
      <c r="A748" s="3" t="s">
        <v>8</v>
      </c>
      <c r="B748" s="3" t="s">
        <v>14</v>
      </c>
      <c r="C748" s="1">
        <v>38451</v>
      </c>
      <c r="D748" s="3">
        <v>10994</v>
      </c>
      <c r="E748" s="9">
        <v>940.5</v>
      </c>
    </row>
    <row r="749" spans="1:5" x14ac:dyDescent="0.25">
      <c r="A749" s="3" t="s">
        <v>8</v>
      </c>
      <c r="B749" s="3" t="s">
        <v>12</v>
      </c>
      <c r="C749" s="1">
        <v>38448</v>
      </c>
      <c r="D749" s="3">
        <v>10995</v>
      </c>
      <c r="E749" s="9">
        <v>1196</v>
      </c>
    </row>
    <row r="750" spans="1:5" x14ac:dyDescent="0.25">
      <c r="A750" s="3" t="s">
        <v>8</v>
      </c>
      <c r="B750" s="3" t="s">
        <v>9</v>
      </c>
      <c r="C750" s="1">
        <v>38452</v>
      </c>
      <c r="D750" s="3">
        <v>10996</v>
      </c>
      <c r="E750" s="9">
        <v>560</v>
      </c>
    </row>
    <row r="751" spans="1:5" x14ac:dyDescent="0.25">
      <c r="A751" s="3" t="s">
        <v>8</v>
      </c>
      <c r="B751" s="3" t="s">
        <v>13</v>
      </c>
      <c r="C751" s="1">
        <v>38455</v>
      </c>
      <c r="D751" s="3">
        <v>10997</v>
      </c>
      <c r="E751" s="9">
        <v>1885</v>
      </c>
    </row>
    <row r="752" spans="1:5" x14ac:dyDescent="0.25">
      <c r="A752" s="3" t="s">
        <v>8</v>
      </c>
      <c r="B752" s="3" t="s">
        <v>13</v>
      </c>
      <c r="C752" s="1">
        <v>38459</v>
      </c>
      <c r="D752" s="3">
        <v>10998</v>
      </c>
      <c r="E752" s="9">
        <v>686</v>
      </c>
    </row>
    <row r="753" spans="1:5" x14ac:dyDescent="0.25">
      <c r="A753" s="3" t="s">
        <v>5</v>
      </c>
      <c r="B753" s="3" t="s">
        <v>7</v>
      </c>
      <c r="C753" s="1">
        <v>38452</v>
      </c>
      <c r="D753" s="3">
        <v>10999</v>
      </c>
      <c r="E753" s="9">
        <v>1197.95</v>
      </c>
    </row>
    <row r="754" spans="1:5" x14ac:dyDescent="0.25">
      <c r="A754" s="3" t="s">
        <v>8</v>
      </c>
      <c r="B754" s="3" t="s">
        <v>14</v>
      </c>
      <c r="C754" s="1">
        <v>38456</v>
      </c>
      <c r="D754" s="3">
        <v>11000</v>
      </c>
      <c r="E754" s="9">
        <v>903.75</v>
      </c>
    </row>
    <row r="755" spans="1:5" x14ac:dyDescent="0.25">
      <c r="A755" s="3" t="s">
        <v>8</v>
      </c>
      <c r="B755" s="3" t="s">
        <v>14</v>
      </c>
      <c r="C755" s="1">
        <v>38456</v>
      </c>
      <c r="D755" s="3">
        <v>11001</v>
      </c>
      <c r="E755" s="9">
        <v>2769</v>
      </c>
    </row>
    <row r="756" spans="1:5" x14ac:dyDescent="0.25">
      <c r="A756" s="3" t="s">
        <v>8</v>
      </c>
      <c r="B756" s="3" t="s">
        <v>9</v>
      </c>
      <c r="C756" s="1">
        <v>38458</v>
      </c>
      <c r="D756" s="3">
        <v>11002</v>
      </c>
      <c r="E756" s="9">
        <v>1811.1</v>
      </c>
    </row>
    <row r="757" spans="1:5" x14ac:dyDescent="0.25">
      <c r="A757" s="3" t="s">
        <v>8</v>
      </c>
      <c r="B757" s="3" t="s">
        <v>10</v>
      </c>
      <c r="C757" s="1">
        <v>38450</v>
      </c>
      <c r="D757" s="3">
        <v>11003</v>
      </c>
      <c r="E757" s="9">
        <v>326</v>
      </c>
    </row>
    <row r="758" spans="1:5" x14ac:dyDescent="0.25">
      <c r="A758" s="3" t="s">
        <v>8</v>
      </c>
      <c r="B758" s="3" t="s">
        <v>10</v>
      </c>
      <c r="C758" s="1">
        <v>38462</v>
      </c>
      <c r="D758" s="3">
        <v>11004</v>
      </c>
      <c r="E758" s="9">
        <v>295.38</v>
      </c>
    </row>
    <row r="759" spans="1:5" x14ac:dyDescent="0.25">
      <c r="A759" s="3" t="s">
        <v>8</v>
      </c>
      <c r="B759" s="3" t="s">
        <v>14</v>
      </c>
      <c r="C759" s="1">
        <v>38452</v>
      </c>
      <c r="D759" s="3">
        <v>11005</v>
      </c>
      <c r="E759" s="9">
        <v>586</v>
      </c>
    </row>
    <row r="760" spans="1:5" x14ac:dyDescent="0.25">
      <c r="A760" s="3" t="s">
        <v>8</v>
      </c>
      <c r="B760" s="3" t="s">
        <v>10</v>
      </c>
      <c r="C760" s="1">
        <v>38457</v>
      </c>
      <c r="D760" s="3">
        <v>11006</v>
      </c>
      <c r="E760" s="9">
        <v>329.69</v>
      </c>
    </row>
    <row r="761" spans="1:5" x14ac:dyDescent="0.25">
      <c r="A761" s="3" t="s">
        <v>8</v>
      </c>
      <c r="B761" s="3" t="s">
        <v>13</v>
      </c>
      <c r="C761" s="1">
        <v>38455</v>
      </c>
      <c r="D761" s="3">
        <v>11007</v>
      </c>
      <c r="E761" s="9">
        <v>2633.9</v>
      </c>
    </row>
    <row r="762" spans="1:5" x14ac:dyDescent="0.25">
      <c r="A762" s="3" t="s">
        <v>8</v>
      </c>
      <c r="B762" s="3" t="s">
        <v>14</v>
      </c>
      <c r="C762" s="1">
        <v>38452</v>
      </c>
      <c r="D762" s="3">
        <v>11009</v>
      </c>
      <c r="E762" s="9">
        <v>616.5</v>
      </c>
    </row>
    <row r="763" spans="1:5" x14ac:dyDescent="0.25">
      <c r="A763" s="3" t="s">
        <v>8</v>
      </c>
      <c r="B763" s="3" t="s">
        <v>14</v>
      </c>
      <c r="C763" s="1">
        <v>38463</v>
      </c>
      <c r="D763" s="3">
        <v>11010</v>
      </c>
      <c r="E763" s="9">
        <v>645</v>
      </c>
    </row>
    <row r="764" spans="1:5" x14ac:dyDescent="0.25">
      <c r="A764" s="3" t="s">
        <v>8</v>
      </c>
      <c r="B764" s="3" t="s">
        <v>10</v>
      </c>
      <c r="C764" s="1">
        <v>38455</v>
      </c>
      <c r="D764" s="3">
        <v>11011</v>
      </c>
      <c r="E764" s="9">
        <v>933.5</v>
      </c>
    </row>
    <row r="765" spans="1:5" x14ac:dyDescent="0.25">
      <c r="A765" s="3" t="s">
        <v>8</v>
      </c>
      <c r="B765" s="3" t="s">
        <v>12</v>
      </c>
      <c r="C765" s="1">
        <v>38459</v>
      </c>
      <c r="D765" s="3">
        <v>11012</v>
      </c>
      <c r="E765" s="9">
        <v>2825.3</v>
      </c>
    </row>
    <row r="766" spans="1:5" x14ac:dyDescent="0.25">
      <c r="A766" s="3" t="s">
        <v>8</v>
      </c>
      <c r="B766" s="3" t="s">
        <v>14</v>
      </c>
      <c r="C766" s="1">
        <v>38452</v>
      </c>
      <c r="D766" s="3">
        <v>11013</v>
      </c>
      <c r="E766" s="9">
        <v>361</v>
      </c>
    </row>
    <row r="767" spans="1:5" x14ac:dyDescent="0.25">
      <c r="A767" s="3" t="s">
        <v>8</v>
      </c>
      <c r="B767" s="3" t="s">
        <v>14</v>
      </c>
      <c r="C767" s="1">
        <v>38457</v>
      </c>
      <c r="D767" s="3">
        <v>11014</v>
      </c>
      <c r="E767" s="9">
        <v>243.18</v>
      </c>
    </row>
    <row r="768" spans="1:5" x14ac:dyDescent="0.25">
      <c r="A768" s="3" t="s">
        <v>8</v>
      </c>
      <c r="B768" s="3" t="s">
        <v>14</v>
      </c>
      <c r="C768" s="1">
        <v>38462</v>
      </c>
      <c r="D768" s="3">
        <v>11015</v>
      </c>
      <c r="E768" s="9">
        <v>622.35</v>
      </c>
    </row>
    <row r="769" spans="1:5" x14ac:dyDescent="0.25">
      <c r="A769" s="3" t="s">
        <v>5</v>
      </c>
      <c r="B769" s="3" t="s">
        <v>11</v>
      </c>
      <c r="C769" s="1">
        <v>38455</v>
      </c>
      <c r="D769" s="3">
        <v>11016</v>
      </c>
      <c r="E769" s="9">
        <v>491.5</v>
      </c>
    </row>
    <row r="770" spans="1:5" x14ac:dyDescent="0.25">
      <c r="A770" s="3" t="s">
        <v>5</v>
      </c>
      <c r="B770" s="3" t="s">
        <v>11</v>
      </c>
      <c r="C770" s="1">
        <v>38462</v>
      </c>
      <c r="D770" s="3">
        <v>11017</v>
      </c>
      <c r="E770" s="9">
        <v>6750</v>
      </c>
    </row>
    <row r="771" spans="1:5" x14ac:dyDescent="0.25">
      <c r="A771" s="3" t="s">
        <v>8</v>
      </c>
      <c r="B771" s="3" t="s">
        <v>9</v>
      </c>
      <c r="C771" s="1">
        <v>38458</v>
      </c>
      <c r="D771" s="3">
        <v>11018</v>
      </c>
      <c r="E771" s="9">
        <v>1575</v>
      </c>
    </row>
    <row r="772" spans="1:5" x14ac:dyDescent="0.25">
      <c r="A772" s="3" t="s">
        <v>8</v>
      </c>
      <c r="B772" s="3" t="s">
        <v>14</v>
      </c>
      <c r="C772" s="1">
        <v>38458</v>
      </c>
      <c r="D772" s="3">
        <v>11020</v>
      </c>
      <c r="E772" s="9">
        <v>632.4</v>
      </c>
    </row>
    <row r="773" spans="1:5" x14ac:dyDescent="0.25">
      <c r="A773" s="3" t="s">
        <v>8</v>
      </c>
      <c r="B773" s="3" t="s">
        <v>10</v>
      </c>
      <c r="C773" s="1">
        <v>38463</v>
      </c>
      <c r="D773" s="3">
        <v>11021</v>
      </c>
      <c r="E773" s="9">
        <v>6306.24</v>
      </c>
    </row>
    <row r="774" spans="1:5" x14ac:dyDescent="0.25">
      <c r="A774" s="3" t="s">
        <v>8</v>
      </c>
      <c r="B774" s="3" t="s">
        <v>12</v>
      </c>
      <c r="C774" s="1">
        <v>38466</v>
      </c>
      <c r="D774" s="3">
        <v>11023</v>
      </c>
      <c r="E774" s="9">
        <v>1500</v>
      </c>
    </row>
    <row r="775" spans="1:5" x14ac:dyDescent="0.25">
      <c r="A775" s="3" t="s">
        <v>8</v>
      </c>
      <c r="B775" s="3" t="s">
        <v>9</v>
      </c>
      <c r="C775" s="1">
        <v>38462</v>
      </c>
      <c r="D775" s="3">
        <v>11024</v>
      </c>
      <c r="E775" s="9">
        <v>1966.81</v>
      </c>
    </row>
    <row r="776" spans="1:5" x14ac:dyDescent="0.25">
      <c r="A776" s="3" t="s">
        <v>5</v>
      </c>
      <c r="B776" s="3" t="s">
        <v>7</v>
      </c>
      <c r="C776" s="1">
        <v>38466</v>
      </c>
      <c r="D776" s="3">
        <v>11025</v>
      </c>
      <c r="E776" s="9">
        <v>270</v>
      </c>
    </row>
    <row r="777" spans="1:5" x14ac:dyDescent="0.25">
      <c r="A777" s="3" t="s">
        <v>8</v>
      </c>
      <c r="B777" s="3" t="s">
        <v>9</v>
      </c>
      <c r="C777" s="1">
        <v>38470</v>
      </c>
      <c r="D777" s="3">
        <v>11026</v>
      </c>
      <c r="E777" s="9">
        <v>1030</v>
      </c>
    </row>
    <row r="778" spans="1:5" x14ac:dyDescent="0.25">
      <c r="A778" s="3" t="s">
        <v>8</v>
      </c>
      <c r="B778" s="3" t="s">
        <v>12</v>
      </c>
      <c r="C778" s="1">
        <v>38462</v>
      </c>
      <c r="D778" s="3">
        <v>11027</v>
      </c>
      <c r="E778" s="9">
        <v>877.72</v>
      </c>
    </row>
    <row r="779" spans="1:5" x14ac:dyDescent="0.25">
      <c r="A779" s="3" t="s">
        <v>8</v>
      </c>
      <c r="B779" s="3" t="s">
        <v>14</v>
      </c>
      <c r="C779" s="1">
        <v>38464</v>
      </c>
      <c r="D779" s="3">
        <v>11028</v>
      </c>
      <c r="E779" s="9">
        <v>2160</v>
      </c>
    </row>
    <row r="780" spans="1:5" x14ac:dyDescent="0.25">
      <c r="A780" s="3" t="s">
        <v>8</v>
      </c>
      <c r="B780" s="3" t="s">
        <v>9</v>
      </c>
      <c r="C780" s="1">
        <v>38469</v>
      </c>
      <c r="D780" s="3">
        <v>11029</v>
      </c>
      <c r="E780" s="9">
        <v>1286.8</v>
      </c>
    </row>
    <row r="781" spans="1:5" x14ac:dyDescent="0.25">
      <c r="A781" s="3" t="s">
        <v>5</v>
      </c>
      <c r="B781" s="3" t="s">
        <v>15</v>
      </c>
      <c r="C781" s="1">
        <v>38469</v>
      </c>
      <c r="D781" s="3">
        <v>11030</v>
      </c>
      <c r="E781" s="9">
        <v>12615.05</v>
      </c>
    </row>
    <row r="782" spans="1:5" x14ac:dyDescent="0.25">
      <c r="A782" s="3" t="s">
        <v>5</v>
      </c>
      <c r="B782" s="3" t="s">
        <v>7</v>
      </c>
      <c r="C782" s="1">
        <v>38466</v>
      </c>
      <c r="D782" s="3">
        <v>11031</v>
      </c>
      <c r="E782" s="9">
        <v>2393.5</v>
      </c>
    </row>
    <row r="783" spans="1:5" x14ac:dyDescent="0.25">
      <c r="A783" s="3" t="s">
        <v>8</v>
      </c>
      <c r="B783" s="3" t="s">
        <v>14</v>
      </c>
      <c r="C783" s="1">
        <v>38465</v>
      </c>
      <c r="D783" s="3">
        <v>11032</v>
      </c>
      <c r="E783" s="9">
        <v>8902.5</v>
      </c>
    </row>
    <row r="784" spans="1:5" x14ac:dyDescent="0.25">
      <c r="A784" s="3" t="s">
        <v>5</v>
      </c>
      <c r="B784" s="3" t="s">
        <v>15</v>
      </c>
      <c r="C784" s="1">
        <v>38465</v>
      </c>
      <c r="D784" s="3">
        <v>11033</v>
      </c>
      <c r="E784" s="9">
        <v>3232.8</v>
      </c>
    </row>
    <row r="785" spans="1:5" x14ac:dyDescent="0.25">
      <c r="A785" s="3" t="s">
        <v>8</v>
      </c>
      <c r="B785" s="3" t="s">
        <v>13</v>
      </c>
      <c r="C785" s="1">
        <v>38469</v>
      </c>
      <c r="D785" s="3">
        <v>11034</v>
      </c>
      <c r="E785" s="9">
        <v>539.4</v>
      </c>
    </row>
    <row r="786" spans="1:5" x14ac:dyDescent="0.25">
      <c r="A786" s="3" t="s">
        <v>8</v>
      </c>
      <c r="B786" s="3" t="s">
        <v>14</v>
      </c>
      <c r="C786" s="1">
        <v>38466</v>
      </c>
      <c r="D786" s="3">
        <v>11035</v>
      </c>
      <c r="E786" s="9">
        <v>1754.5</v>
      </c>
    </row>
    <row r="787" spans="1:5" x14ac:dyDescent="0.25">
      <c r="A787" s="3" t="s">
        <v>8</v>
      </c>
      <c r="B787" s="3" t="s">
        <v>13</v>
      </c>
      <c r="C787" s="1">
        <v>38464</v>
      </c>
      <c r="D787" s="3">
        <v>11036</v>
      </c>
      <c r="E787" s="9">
        <v>1692</v>
      </c>
    </row>
    <row r="788" spans="1:5" x14ac:dyDescent="0.25">
      <c r="A788" s="3" t="s">
        <v>5</v>
      </c>
      <c r="B788" s="3" t="s">
        <v>15</v>
      </c>
      <c r="C788" s="1">
        <v>38469</v>
      </c>
      <c r="D788" s="3">
        <v>11037</v>
      </c>
      <c r="E788" s="9">
        <v>60</v>
      </c>
    </row>
    <row r="789" spans="1:5" x14ac:dyDescent="0.25">
      <c r="A789" s="3" t="s">
        <v>8</v>
      </c>
      <c r="B789" s="3" t="s">
        <v>12</v>
      </c>
      <c r="C789" s="1">
        <v>38472</v>
      </c>
      <c r="D789" s="3">
        <v>11038</v>
      </c>
      <c r="E789" s="9">
        <v>732.6</v>
      </c>
    </row>
    <row r="790" spans="1:5" x14ac:dyDescent="0.25">
      <c r="A790" s="3" t="s">
        <v>8</v>
      </c>
      <c r="B790" s="3" t="s">
        <v>10</v>
      </c>
      <c r="C790" s="1">
        <v>38470</v>
      </c>
      <c r="D790" s="3">
        <v>11041</v>
      </c>
      <c r="E790" s="9">
        <v>1773</v>
      </c>
    </row>
    <row r="791" spans="1:5" x14ac:dyDescent="0.25">
      <c r="A791" s="3" t="s">
        <v>8</v>
      </c>
      <c r="B791" s="3" t="s">
        <v>14</v>
      </c>
      <c r="C791" s="1">
        <v>38473</v>
      </c>
      <c r="D791" s="3">
        <v>11042</v>
      </c>
      <c r="E791" s="9">
        <v>405.75</v>
      </c>
    </row>
    <row r="792" spans="1:5" x14ac:dyDescent="0.25">
      <c r="A792" s="3" t="s">
        <v>5</v>
      </c>
      <c r="B792" s="3" t="s">
        <v>6</v>
      </c>
      <c r="C792" s="1">
        <v>38471</v>
      </c>
      <c r="D792" s="3">
        <v>11043</v>
      </c>
      <c r="E792" s="9">
        <v>210</v>
      </c>
    </row>
    <row r="793" spans="1:5" x14ac:dyDescent="0.25">
      <c r="A793" s="3" t="s">
        <v>8</v>
      </c>
      <c r="B793" s="3" t="s">
        <v>9</v>
      </c>
      <c r="C793" s="1">
        <v>38473</v>
      </c>
      <c r="D793" s="3">
        <v>11044</v>
      </c>
      <c r="E793" s="9">
        <v>591.6</v>
      </c>
    </row>
    <row r="794" spans="1:5" x14ac:dyDescent="0.25">
      <c r="A794" s="3" t="s">
        <v>8</v>
      </c>
      <c r="B794" s="3" t="s">
        <v>13</v>
      </c>
      <c r="C794" s="1">
        <v>38466</v>
      </c>
      <c r="D794" s="3">
        <v>11046</v>
      </c>
      <c r="E794" s="9">
        <v>1485.8</v>
      </c>
    </row>
    <row r="795" spans="1:5" x14ac:dyDescent="0.25">
      <c r="A795" s="3" t="s">
        <v>5</v>
      </c>
      <c r="B795" s="3" t="s">
        <v>15</v>
      </c>
      <c r="C795" s="1">
        <v>38473</v>
      </c>
      <c r="D795" s="3">
        <v>11047</v>
      </c>
      <c r="E795" s="9">
        <v>817.87</v>
      </c>
    </row>
    <row r="796" spans="1:5" x14ac:dyDescent="0.25">
      <c r="A796" s="3" t="s">
        <v>5</v>
      </c>
      <c r="B796" s="3" t="s">
        <v>15</v>
      </c>
      <c r="C796" s="1">
        <v>38472</v>
      </c>
      <c r="D796" s="3">
        <v>11048</v>
      </c>
      <c r="E796" s="9">
        <v>525</v>
      </c>
    </row>
    <row r="797" spans="1:5" x14ac:dyDescent="0.25">
      <c r="A797" s="3" t="s">
        <v>8</v>
      </c>
      <c r="B797" s="3" t="s">
        <v>10</v>
      </c>
      <c r="C797" s="1">
        <v>38473</v>
      </c>
      <c r="D797" s="3">
        <v>11052</v>
      </c>
      <c r="E797" s="9">
        <v>1332</v>
      </c>
    </row>
    <row r="798" spans="1:5" x14ac:dyDescent="0.25">
      <c r="A798" s="3" t="s">
        <v>8</v>
      </c>
      <c r="B798" s="3" t="s">
        <v>14</v>
      </c>
      <c r="C798" s="1">
        <v>38471</v>
      </c>
      <c r="D798" s="3">
        <v>11053</v>
      </c>
      <c r="E798" s="9">
        <v>3055</v>
      </c>
    </row>
    <row r="799" spans="1:5" x14ac:dyDescent="0.25">
      <c r="A799" s="3" t="s">
        <v>8</v>
      </c>
      <c r="B799" s="3" t="s">
        <v>13</v>
      </c>
      <c r="C799" s="1">
        <v>38473</v>
      </c>
      <c r="D799" s="3">
        <v>11056</v>
      </c>
      <c r="E799" s="9">
        <v>3740</v>
      </c>
    </row>
    <row r="800" spans="1:5" x14ac:dyDescent="0.25">
      <c r="A800" s="3" t="s">
        <v>8</v>
      </c>
      <c r="B800" s="3" t="s">
        <v>10</v>
      </c>
      <c r="C800" s="1">
        <v>38473</v>
      </c>
      <c r="D800" s="3">
        <v>11057</v>
      </c>
      <c r="E800" s="9">
        <v>45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8308DC-92EE-4F65-A34A-128F33D49D70}">
  <dimension ref="A2:J24"/>
  <sheetViews>
    <sheetView zoomScale="90" zoomScaleNormal="90" workbookViewId="0">
      <selection activeCell="BP27" sqref="BP27"/>
    </sheetView>
  </sheetViews>
  <sheetFormatPr baseColWidth="10" defaultRowHeight="15" x14ac:dyDescent="0.25"/>
  <cols>
    <col min="1" max="1" width="21" bestFit="1" customWidth="1"/>
    <col min="2" max="2" width="24.140625" bestFit="1" customWidth="1"/>
    <col min="3" max="3" width="4.28515625" customWidth="1"/>
    <col min="4" max="4" width="21" bestFit="1" customWidth="1"/>
    <col min="5" max="5" width="24.140625" bestFit="1" customWidth="1"/>
    <col min="6" max="6" width="26.7109375" bestFit="1" customWidth="1"/>
    <col min="7" max="7" width="22.85546875" bestFit="1" customWidth="1"/>
    <col min="8" max="8" width="23.85546875" bestFit="1" customWidth="1"/>
    <col min="9" max="9" width="10" bestFit="1" customWidth="1"/>
    <col min="10" max="10" width="11.140625" bestFit="1" customWidth="1"/>
    <col min="11" max="11" width="12.5703125" bestFit="1" customWidth="1"/>
    <col min="12" max="16" width="7" bestFit="1" customWidth="1"/>
    <col min="17" max="17" width="12.5703125" bestFit="1" customWidth="1"/>
    <col min="18" max="19" width="7" bestFit="1" customWidth="1"/>
    <col min="20" max="20" width="7.85546875" bestFit="1" customWidth="1"/>
    <col min="21" max="22" width="7" bestFit="1" customWidth="1"/>
    <col min="23" max="23" width="7.85546875" bestFit="1" customWidth="1"/>
    <col min="24" max="25" width="7" bestFit="1" customWidth="1"/>
    <col min="26" max="26" width="7.85546875" bestFit="1" customWidth="1"/>
    <col min="27" max="27" width="6" bestFit="1" customWidth="1"/>
    <col min="28" max="28" width="12.5703125" bestFit="1" customWidth="1"/>
    <col min="29" max="49" width="23.85546875" bestFit="1" customWidth="1"/>
    <col min="50" max="50" width="28.85546875" bestFit="1" customWidth="1"/>
    <col min="51" max="51" width="23" bestFit="1" customWidth="1"/>
    <col min="52" max="771" width="23.85546875" bestFit="1" customWidth="1"/>
    <col min="772" max="772" width="28.85546875" bestFit="1" customWidth="1"/>
    <col min="773" max="773" width="23" bestFit="1" customWidth="1"/>
  </cols>
  <sheetData>
    <row r="2" spans="1:10" x14ac:dyDescent="0.25">
      <c r="A2" s="11" t="s">
        <v>19</v>
      </c>
      <c r="B2" t="s">
        <v>21</v>
      </c>
      <c r="D2" s="11" t="s">
        <v>19</v>
      </c>
      <c r="E2" t="s">
        <v>21</v>
      </c>
      <c r="G2" s="11" t="s">
        <v>21</v>
      </c>
      <c r="H2" s="11" t="s">
        <v>22</v>
      </c>
    </row>
    <row r="3" spans="1:10" x14ac:dyDescent="0.25">
      <c r="A3" s="12" t="s">
        <v>5</v>
      </c>
      <c r="B3" s="14">
        <v>0.27136975858390849</v>
      </c>
      <c r="D3" s="12" t="s">
        <v>26</v>
      </c>
      <c r="E3" s="13">
        <v>148398.03</v>
      </c>
      <c r="G3" s="11" t="s">
        <v>19</v>
      </c>
      <c r="H3" t="s">
        <v>16</v>
      </c>
      <c r="I3" t="s">
        <v>17</v>
      </c>
      <c r="J3" t="s">
        <v>18</v>
      </c>
    </row>
    <row r="4" spans="1:10" x14ac:dyDescent="0.25">
      <c r="A4" s="12" t="s">
        <v>8</v>
      </c>
      <c r="B4" s="14">
        <v>0.72863024141609156</v>
      </c>
      <c r="D4" s="12" t="s">
        <v>27</v>
      </c>
      <c r="E4" s="13">
        <v>146591.25</v>
      </c>
      <c r="G4" s="12" t="s">
        <v>26</v>
      </c>
      <c r="H4" s="13"/>
      <c r="I4" s="13">
        <v>65090.45</v>
      </c>
      <c r="J4" s="13">
        <v>83307.58</v>
      </c>
    </row>
    <row r="5" spans="1:10" x14ac:dyDescent="0.25">
      <c r="D5" s="12" t="s">
        <v>28</v>
      </c>
      <c r="E5" s="13">
        <v>125043.89</v>
      </c>
      <c r="G5" s="12" t="s">
        <v>27</v>
      </c>
      <c r="H5" s="13"/>
      <c r="I5" s="13">
        <v>31442.47</v>
      </c>
      <c r="J5" s="13">
        <v>115148.78</v>
      </c>
    </row>
    <row r="6" spans="1:10" x14ac:dyDescent="0.25">
      <c r="D6" s="12" t="s">
        <v>29</v>
      </c>
      <c r="E6" s="13">
        <v>174498.38</v>
      </c>
      <c r="G6" s="12" t="s">
        <v>28</v>
      </c>
      <c r="H6" s="13"/>
      <c r="I6" s="13">
        <v>47514.31</v>
      </c>
      <c r="J6" s="13">
        <v>77529.58</v>
      </c>
    </row>
    <row r="7" spans="1:10" x14ac:dyDescent="0.25">
      <c r="D7" s="12" t="s">
        <v>30</v>
      </c>
      <c r="E7" s="13">
        <v>70907.570000000007</v>
      </c>
      <c r="G7" s="12" t="s">
        <v>29</v>
      </c>
      <c r="H7" s="13"/>
      <c r="I7" s="13">
        <v>31596.44</v>
      </c>
      <c r="J7" s="13">
        <v>142901.94</v>
      </c>
    </row>
    <row r="8" spans="1:10" x14ac:dyDescent="0.25">
      <c r="A8" s="11" t="s">
        <v>19</v>
      </c>
      <c r="B8" t="s">
        <v>21</v>
      </c>
      <c r="D8" s="12" t="s">
        <v>31</v>
      </c>
      <c r="E8" s="13">
        <v>50082.98</v>
      </c>
      <c r="G8" s="12" t="s">
        <v>30</v>
      </c>
      <c r="H8" s="13"/>
      <c r="I8" s="13">
        <v>63975.35</v>
      </c>
      <c r="J8" s="13">
        <v>6932.22</v>
      </c>
    </row>
    <row r="9" spans="1:10" x14ac:dyDescent="0.25">
      <c r="A9" s="12" t="s">
        <v>6</v>
      </c>
      <c r="B9" s="13">
        <v>68792.25</v>
      </c>
      <c r="D9" s="12" t="s">
        <v>32</v>
      </c>
      <c r="E9" s="13">
        <v>58255.21</v>
      </c>
      <c r="G9" s="12" t="s">
        <v>31</v>
      </c>
      <c r="H9" s="13"/>
      <c r="I9" s="13">
        <v>50082.98</v>
      </c>
      <c r="J9" s="13"/>
    </row>
    <row r="10" spans="1:10" x14ac:dyDescent="0.25">
      <c r="A10" s="12" t="s">
        <v>13</v>
      </c>
      <c r="B10" s="13">
        <v>123032.67</v>
      </c>
      <c r="D10" s="12" t="s">
        <v>33</v>
      </c>
      <c r="E10" s="13">
        <v>81512.73</v>
      </c>
      <c r="G10" s="12" t="s">
        <v>32</v>
      </c>
      <c r="H10" s="13">
        <v>20710.27</v>
      </c>
      <c r="I10" s="13">
        <v>37544.94</v>
      </c>
      <c r="J10" s="13"/>
    </row>
    <row r="11" spans="1:10" x14ac:dyDescent="0.25">
      <c r="A11" s="12" t="s">
        <v>12</v>
      </c>
      <c r="B11" s="13">
        <v>182500.09</v>
      </c>
      <c r="D11" s="12" t="s">
        <v>34</v>
      </c>
      <c r="E11" s="13">
        <v>68537.429999999993</v>
      </c>
      <c r="G11" s="12" t="s">
        <v>33</v>
      </c>
      <c r="H11" s="13">
        <v>25244.77</v>
      </c>
      <c r="I11" s="13">
        <v>56267.96</v>
      </c>
      <c r="J11" s="13"/>
    </row>
    <row r="12" spans="1:10" x14ac:dyDescent="0.25">
      <c r="A12" s="12" t="s">
        <v>11</v>
      </c>
      <c r="B12" s="13">
        <v>75048.039999999994</v>
      </c>
      <c r="D12" s="12" t="s">
        <v>35</v>
      </c>
      <c r="E12" s="13">
        <v>117996.88</v>
      </c>
      <c r="G12" s="12" t="s">
        <v>34</v>
      </c>
      <c r="H12" s="13">
        <v>18030.12</v>
      </c>
      <c r="I12" s="13">
        <v>50507.31</v>
      </c>
      <c r="J12" s="13"/>
    </row>
    <row r="13" spans="1:10" x14ac:dyDescent="0.25">
      <c r="A13" s="12" t="s">
        <v>14</v>
      </c>
      <c r="B13" s="13">
        <v>162503.78</v>
      </c>
      <c r="D13" s="12" t="s">
        <v>36</v>
      </c>
      <c r="E13" s="13">
        <v>79904.009999999995</v>
      </c>
      <c r="G13" s="12" t="s">
        <v>35</v>
      </c>
      <c r="H13" s="13">
        <v>43691.7</v>
      </c>
      <c r="I13" s="13">
        <v>74305.179999999993</v>
      </c>
      <c r="J13" s="13"/>
    </row>
    <row r="14" spans="1:10" x14ac:dyDescent="0.25">
      <c r="A14" s="12" t="s">
        <v>15</v>
      </c>
      <c r="B14" s="13">
        <v>116962.99</v>
      </c>
      <c r="D14" s="12" t="s">
        <v>37</v>
      </c>
      <c r="E14" s="13">
        <v>106599.03999999999</v>
      </c>
      <c r="G14" s="12" t="s">
        <v>36</v>
      </c>
      <c r="H14" s="13">
        <v>39460.9</v>
      </c>
      <c r="I14" s="13">
        <v>40443.11</v>
      </c>
      <c r="J14" s="13"/>
    </row>
    <row r="15" spans="1:10" x14ac:dyDescent="0.25">
      <c r="A15" s="12" t="s">
        <v>10</v>
      </c>
      <c r="B15" s="13">
        <v>201196.27</v>
      </c>
      <c r="G15" s="12" t="s">
        <v>37</v>
      </c>
      <c r="H15" s="13">
        <v>46178.78</v>
      </c>
      <c r="I15" s="13">
        <v>60420.26</v>
      </c>
      <c r="J15" s="13"/>
    </row>
    <row r="16" spans="1:10" x14ac:dyDescent="0.25">
      <c r="A16" s="12" t="s">
        <v>9</v>
      </c>
      <c r="B16" s="13">
        <v>225763.68</v>
      </c>
    </row>
    <row r="17" spans="1:7" x14ac:dyDescent="0.25">
      <c r="A17" s="12" t="s">
        <v>7</v>
      </c>
      <c r="B17" s="13">
        <v>72527.63</v>
      </c>
    </row>
    <row r="20" spans="1:7" x14ac:dyDescent="0.25">
      <c r="D20" s="11" t="s">
        <v>19</v>
      </c>
      <c r="E20" t="s">
        <v>21</v>
      </c>
      <c r="F20" t="s">
        <v>23</v>
      </c>
      <c r="G20" t="s">
        <v>24</v>
      </c>
    </row>
    <row r="21" spans="1:7" x14ac:dyDescent="0.25">
      <c r="A21" s="11" t="s">
        <v>19</v>
      </c>
      <c r="B21" t="s">
        <v>21</v>
      </c>
      <c r="D21" s="12" t="s">
        <v>5</v>
      </c>
      <c r="E21" s="13">
        <v>333330.90999999997</v>
      </c>
      <c r="F21" s="13">
        <v>4</v>
      </c>
      <c r="G21" s="13">
        <v>215</v>
      </c>
    </row>
    <row r="22" spans="1:7" x14ac:dyDescent="0.25">
      <c r="A22" s="12" t="s">
        <v>16</v>
      </c>
      <c r="B22" s="13">
        <v>193316.54</v>
      </c>
      <c r="D22" s="12" t="s">
        <v>8</v>
      </c>
      <c r="E22" s="13">
        <v>894996.49</v>
      </c>
      <c r="F22" s="13">
        <v>5</v>
      </c>
      <c r="G22" s="13">
        <v>584</v>
      </c>
    </row>
    <row r="23" spans="1:7" x14ac:dyDescent="0.25">
      <c r="A23" s="12" t="s">
        <v>17</v>
      </c>
      <c r="B23" s="13">
        <v>609190.76</v>
      </c>
      <c r="D23" s="12" t="s">
        <v>20</v>
      </c>
      <c r="E23" s="13">
        <v>1228327.3999999999</v>
      </c>
      <c r="F23" s="13">
        <v>9</v>
      </c>
      <c r="G23" s="13">
        <v>799</v>
      </c>
    </row>
    <row r="24" spans="1:7" x14ac:dyDescent="0.25">
      <c r="A24" s="12" t="s">
        <v>18</v>
      </c>
      <c r="B24" s="13">
        <v>425820.1</v>
      </c>
    </row>
  </sheetData>
  <pageMargins left="0.7" right="0.7" top="0.75" bottom="0.75" header="0.3" footer="0.3"/>
  <pageSetup paperSize="9" orientation="portrait" r:id="rId7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679A8-BFAD-4BF9-A383-E19EBFC1B66C}">
  <dimension ref="J47:BD71"/>
  <sheetViews>
    <sheetView showGridLines="0" tabSelected="1" zoomScale="80" zoomScaleNormal="80" workbookViewId="0">
      <selection activeCell="X64" sqref="X64"/>
    </sheetView>
  </sheetViews>
  <sheetFormatPr baseColWidth="10" defaultColWidth="2.7109375" defaultRowHeight="9.9499999999999993" customHeight="1" x14ac:dyDescent="0.25"/>
  <sheetData>
    <row r="47" spans="56:56" ht="9.9499999999999993" customHeight="1" x14ac:dyDescent="0.25">
      <c r="BD47" t="s">
        <v>25</v>
      </c>
    </row>
    <row r="57" spans="10:21" ht="9.9499999999999993" customHeight="1" x14ac:dyDescent="0.25">
      <c r="J57" s="15"/>
      <c r="K57" s="15"/>
      <c r="L57" s="15"/>
      <c r="M57" s="15"/>
      <c r="N57" s="15"/>
      <c r="O57" s="15"/>
      <c r="P57" s="15"/>
      <c r="Q57" s="15"/>
      <c r="R57" s="15"/>
      <c r="S57" s="15"/>
      <c r="T57" s="15"/>
      <c r="U57" s="15"/>
    </row>
    <row r="58" spans="10:21" ht="9.9499999999999993" customHeight="1" x14ac:dyDescent="0.25">
      <c r="J58" s="15"/>
      <c r="K58" s="17"/>
      <c r="L58" s="18"/>
      <c r="M58" s="18"/>
      <c r="N58" s="18"/>
      <c r="O58" s="18"/>
      <c r="P58" s="18"/>
      <c r="Q58" s="18"/>
      <c r="R58" s="18"/>
      <c r="S58" s="18"/>
      <c r="T58" s="19"/>
      <c r="U58" s="15"/>
    </row>
    <row r="59" spans="10:21" ht="9.9499999999999993" customHeight="1" x14ac:dyDescent="0.25">
      <c r="J59" s="15"/>
      <c r="K59" s="20"/>
      <c r="L59" s="26">
        <f>GETPIVOTDATA("[Measures].[Somme de Order Amount]",TCD!$D$20)</f>
        <v>1228327.3999999999</v>
      </c>
      <c r="M59" s="26"/>
      <c r="N59" s="26"/>
      <c r="O59" s="26"/>
      <c r="P59" s="26"/>
      <c r="Q59" s="26"/>
      <c r="R59" s="26"/>
      <c r="S59" s="26"/>
      <c r="T59" s="21"/>
      <c r="U59" s="15"/>
    </row>
    <row r="60" spans="10:21" ht="9.9499999999999993" customHeight="1" x14ac:dyDescent="0.25">
      <c r="J60" s="15"/>
      <c r="K60" s="20"/>
      <c r="L60" s="26"/>
      <c r="M60" s="26"/>
      <c r="N60" s="26"/>
      <c r="O60" s="26"/>
      <c r="P60" s="26"/>
      <c r="Q60" s="26"/>
      <c r="R60" s="26"/>
      <c r="S60" s="26"/>
      <c r="T60" s="21"/>
      <c r="U60" s="15"/>
    </row>
    <row r="61" spans="10:21" ht="9.9499999999999993" customHeight="1" x14ac:dyDescent="0.25">
      <c r="J61" s="15"/>
      <c r="K61" s="20"/>
      <c r="L61" s="22"/>
      <c r="M61" s="22"/>
      <c r="N61" s="22"/>
      <c r="O61" s="22"/>
      <c r="P61" s="22"/>
      <c r="Q61" s="22"/>
      <c r="R61" s="22"/>
      <c r="S61" s="22"/>
      <c r="T61" s="21"/>
      <c r="U61" s="15"/>
    </row>
    <row r="62" spans="10:21" ht="9.9499999999999993" customHeight="1" x14ac:dyDescent="0.25">
      <c r="J62" s="15"/>
      <c r="K62" s="20"/>
      <c r="L62" s="26">
        <f>GETPIVOTDATA("[Measures].[Total distinct de Salesperson]",TCD!$D$20)</f>
        <v>9</v>
      </c>
      <c r="M62" s="26"/>
      <c r="N62" s="26"/>
      <c r="O62" s="26"/>
      <c r="P62" s="26"/>
      <c r="Q62" s="26"/>
      <c r="R62" s="26"/>
      <c r="S62" s="26"/>
      <c r="T62" s="21"/>
      <c r="U62" s="15"/>
    </row>
    <row r="63" spans="10:21" ht="9.9499999999999993" customHeight="1" x14ac:dyDescent="0.25">
      <c r="J63" s="15"/>
      <c r="K63" s="20"/>
      <c r="L63" s="26"/>
      <c r="M63" s="26"/>
      <c r="N63" s="26"/>
      <c r="O63" s="26"/>
      <c r="P63" s="26"/>
      <c r="Q63" s="26"/>
      <c r="R63" s="26"/>
      <c r="S63" s="26"/>
      <c r="T63" s="21"/>
      <c r="U63" s="15"/>
    </row>
    <row r="64" spans="10:21" ht="9.9499999999999993" customHeight="1" x14ac:dyDescent="0.25">
      <c r="J64" s="15"/>
      <c r="K64" s="20"/>
      <c r="L64" s="22"/>
      <c r="M64" s="22"/>
      <c r="N64" s="22"/>
      <c r="O64" s="22"/>
      <c r="P64" s="22"/>
      <c r="Q64" s="22"/>
      <c r="R64" s="22"/>
      <c r="S64" s="22"/>
      <c r="T64" s="21"/>
      <c r="U64" s="15"/>
    </row>
    <row r="65" spans="10:21" ht="9.9499999999999993" customHeight="1" x14ac:dyDescent="0.25">
      <c r="J65" s="15"/>
      <c r="K65" s="20"/>
      <c r="L65" s="26">
        <f>GETPIVOTDATA("[Measures].[Total distinct de OrderID]",TCD!$D$20)</f>
        <v>799</v>
      </c>
      <c r="M65" s="26"/>
      <c r="N65" s="26"/>
      <c r="O65" s="26"/>
      <c r="P65" s="26"/>
      <c r="Q65" s="26"/>
      <c r="R65" s="26"/>
      <c r="S65" s="26"/>
      <c r="T65" s="21"/>
      <c r="U65" s="15"/>
    </row>
    <row r="66" spans="10:21" ht="9.9499999999999993" customHeight="1" x14ac:dyDescent="0.25">
      <c r="J66" s="15"/>
      <c r="K66" s="20"/>
      <c r="L66" s="26"/>
      <c r="M66" s="26"/>
      <c r="N66" s="26"/>
      <c r="O66" s="26"/>
      <c r="P66" s="26"/>
      <c r="Q66" s="26"/>
      <c r="R66" s="26"/>
      <c r="S66" s="26"/>
      <c r="T66" s="21"/>
      <c r="U66" s="15"/>
    </row>
    <row r="67" spans="10:21" ht="9.9499999999999993" customHeight="1" x14ac:dyDescent="0.25">
      <c r="J67" s="15"/>
      <c r="K67" s="23"/>
      <c r="L67" s="24"/>
      <c r="M67" s="24"/>
      <c r="N67" s="24"/>
      <c r="O67" s="24"/>
      <c r="P67" s="24"/>
      <c r="Q67" s="24"/>
      <c r="R67" s="24"/>
      <c r="S67" s="24"/>
      <c r="T67" s="25"/>
      <c r="U67" s="15"/>
    </row>
    <row r="68" spans="10:21" ht="9.9499999999999993" customHeight="1" x14ac:dyDescent="0.25">
      <c r="J68" s="15"/>
      <c r="K68" s="15"/>
      <c r="L68" s="16"/>
      <c r="M68" s="16"/>
      <c r="N68" s="16"/>
      <c r="O68" s="16"/>
      <c r="P68" s="16"/>
      <c r="Q68" s="16"/>
      <c r="R68" s="16"/>
      <c r="S68" s="16"/>
      <c r="T68" s="15"/>
      <c r="U68" s="15"/>
    </row>
    <row r="69" spans="10:21" ht="9.9499999999999993" customHeight="1" x14ac:dyDescent="0.25">
      <c r="J69" s="15"/>
      <c r="K69" s="15"/>
      <c r="L69" s="16"/>
      <c r="M69" s="16"/>
      <c r="N69" s="16"/>
      <c r="O69" s="16"/>
      <c r="P69" s="16"/>
      <c r="Q69" s="16"/>
      <c r="R69" s="16"/>
      <c r="S69" s="16"/>
      <c r="T69" s="15"/>
      <c r="U69" s="15"/>
    </row>
    <row r="70" spans="10:21" ht="9.9499999999999993" customHeight="1" x14ac:dyDescent="0.25"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</row>
    <row r="71" spans="10:21" ht="9.9499999999999993" customHeight="1" x14ac:dyDescent="0.25"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</row>
  </sheetData>
  <mergeCells count="3">
    <mergeCell ref="L59:S60"/>
    <mergeCell ref="L62:S63"/>
    <mergeCell ref="L65:S66"/>
  </mergeCells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SALES PERSON DATA</vt:lpstr>
      <vt:lpstr>TCD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2026-10-03T17:21:08Z</dcterms:modified>
</cp:coreProperties>
</file>