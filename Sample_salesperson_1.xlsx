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MainWork\Reprise\Project-Data-Analyse-Excel\"/>
    </mc:Choice>
  </mc:AlternateContent>
  <xr:revisionPtr revIDLastSave="0" documentId="13_ncr:1_{3ACA59BE-59F9-4E77-BC77-0918060AC445}" xr6:coauthVersionLast="47" xr6:coauthVersionMax="47" xr10:uidLastSave="{00000000-0000-0000-0000-000000000000}"/>
  <bookViews>
    <workbookView xWindow="-120" yWindow="-120" windowWidth="20730" windowHeight="11040" tabRatio="716" activeTab="2" xr2:uid="{00000000-000D-0000-FFFF-FFFF00000000}"/>
  </bookViews>
  <sheets>
    <sheet name="Données" sheetId="20" r:id="rId1"/>
    <sheet name="TCD" sheetId="29" r:id="rId2"/>
    <sheet name="Dashboard" sheetId="27" r:id="rId3"/>
  </sheets>
  <definedNames>
    <definedName name="_xlcn.WorksheetConnection_Sample_salesperson_1.xlsxTableau11" hidden="1">Tableau1[]</definedName>
    <definedName name="Segment_Manager1">#N/A</definedName>
    <definedName name="Segment_OrderDate__année">#N/A</definedName>
    <definedName name="Segment_OrderDate__mois">#N/A</definedName>
    <definedName name="Segment_Region1">#N/A</definedName>
  </definedNames>
  <calcPr calcId="191029"/>
  <pivotCaches>
    <pivotCache cacheId="0" r:id="rId4"/>
    <pivotCache cacheId="1" r:id="rId5"/>
    <pivotCache cacheId="2" r:id="rId6"/>
    <pivotCache cacheId="3" r:id="rId7"/>
    <pivotCache cacheId="4" r:id="rId8"/>
    <pivotCache cacheId="5" r:id="rId9"/>
    <pivotCache cacheId="6" r:id="rId10"/>
    <pivotCache cacheId="7" r:id="rId11"/>
    <pivotCache cacheId="8" r:id="rId12"/>
  </pivotCaches>
  <extLst>
    <ext xmlns:x14="http://schemas.microsoft.com/office/spreadsheetml/2009/9/main" uri="{876F7934-8845-4945-9796-88D515C7AA90}">
      <x14:pivotCaches>
        <pivotCache cacheId="9" r:id="rId13"/>
      </x14:pivotCaches>
    </ext>
    <ext xmlns:x14="http://schemas.microsoft.com/office/spreadsheetml/2009/9/main" uri="{BBE1A952-AA13-448e-AADC-164F8A28A991}">
      <x14:slicerCaches>
        <x14:slicerCache r:id="rId14"/>
        <x14:slicerCache r:id="rId15"/>
        <x14:slicerCache r:id="rId16"/>
        <x14:slicerCache r:id="rId1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FCE2AD5D-F65C-4FA6-A056-5C36A1767C68}">
      <x15:dataModel>
        <x15:modelTables>
          <x15:modelTable id="Tableau1" name="Tableau1" connection="WorksheetConnection_Sample_salesperson_1.xlsx!Tableau1"/>
        </x15:modelTables>
        <x15:extLst>
          <ext xmlns:x16="http://schemas.microsoft.com/office/spreadsheetml/2014/11/main" uri="{9835A34E-60A6-4A7C-AAB8-D5F71C897F49}">
            <x16:modelTimeGroupings>
              <x16:modelTimeGrouping tableName="Tableau1" columnName="OrderDate" columnId="OrderDate">
                <x16:calculatedTimeColumn columnName="OrderDate (année)" columnId="OrderDate (année)" contentType="years" isSelected="1"/>
                <x16:calculatedTimeColumn columnName="OrderDate (trimestre)" columnId="OrderDate (trimestre)" contentType="quarters" isSelected="1"/>
                <x16:calculatedTimeColumn columnName="OrderDate (index des mois)" columnId="OrderDate (index des mois)" contentType="monthsindex" isSelected="1"/>
                <x16:calculatedTimeColumn columnName="OrderDate (mois)" columnId="OrderDate (moi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4" i="20" l="1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H7" i="20"/>
  <c r="H6" i="20"/>
  <c r="H5" i="20"/>
  <c r="H4" i="20"/>
  <c r="H3" i="20"/>
  <c r="H2" i="20"/>
  <c r="G80" i="27"/>
  <c r="G86" i="27"/>
  <c r="G83" i="2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9664DB-92CA-4B79-8A64-CBADEF5E593A}" keepAlive="1" name="ThisWorkbookDataModel" description="Modèle de données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83E4805-D02C-4DDA-AAA9-1B8ED72920B5}" name="WorksheetConnection_Sample_salesperson_1.xlsx!Tableau1" type="102" refreshedVersion="7" minRefreshableVersion="5">
    <extLst>
      <ext xmlns:x15="http://schemas.microsoft.com/office/spreadsheetml/2010/11/main" uri="{DE250136-89BD-433C-8126-D09CA5730AF9}">
        <x15:connection id="Tableau1" autoDelete="1">
          <x15:rangePr sourceName="_xlcn.WorksheetConnection_Sample_salesperson_1.xlsxTableau11"/>
        </x15:connection>
      </ext>
    </extLst>
  </connection>
</connections>
</file>

<file path=xl/sharedStrings.xml><?xml version="1.0" encoding="utf-8"?>
<sst xmlns="http://schemas.openxmlformats.org/spreadsheetml/2006/main" count="262" uniqueCount="51">
  <si>
    <t>Region</t>
  </si>
  <si>
    <t>Item</t>
  </si>
  <si>
    <t>Units</t>
  </si>
  <si>
    <t>Desk</t>
  </si>
  <si>
    <t>OrderDate</t>
  </si>
  <si>
    <t>Central</t>
  </si>
  <si>
    <t>West</t>
  </si>
  <si>
    <t>East</t>
  </si>
  <si>
    <t>SalesMan</t>
  </si>
  <si>
    <t>Television</t>
  </si>
  <si>
    <t>Cell Phone</t>
  </si>
  <si>
    <t>Video Games</t>
  </si>
  <si>
    <t>Unit_price</t>
  </si>
  <si>
    <t>Home Theater</t>
  </si>
  <si>
    <t>Steven</t>
  </si>
  <si>
    <t>David</t>
  </si>
  <si>
    <t>Diana</t>
  </si>
  <si>
    <t>Luis</t>
  </si>
  <si>
    <t>Alexander</t>
  </si>
  <si>
    <t>Shelli</t>
  </si>
  <si>
    <t>Sigal</t>
  </si>
  <si>
    <t>Karen</t>
  </si>
  <si>
    <t>John</t>
  </si>
  <si>
    <t>Stephen</t>
  </si>
  <si>
    <t>Michael</t>
  </si>
  <si>
    <t>Manager</t>
  </si>
  <si>
    <t>Martha</t>
  </si>
  <si>
    <t>Timothy</t>
  </si>
  <si>
    <t>Douglas</t>
  </si>
  <si>
    <t>Hermann</t>
  </si>
  <si>
    <t>Sale_amt</t>
  </si>
  <si>
    <t>Étiquettes de lignes</t>
  </si>
  <si>
    <t>Total général</t>
  </si>
  <si>
    <t>Somme de Sale_amt</t>
  </si>
  <si>
    <t>Somme de Units</t>
  </si>
  <si>
    <t>2018</t>
  </si>
  <si>
    <t>2019</t>
  </si>
  <si>
    <t>Étiquettes de colonnes</t>
  </si>
  <si>
    <t>Mar</t>
  </si>
  <si>
    <t>May</t>
  </si>
  <si>
    <t>Aug</t>
  </si>
  <si>
    <t>Sep</t>
  </si>
  <si>
    <t>Oct</t>
  </si>
  <si>
    <t>Total distinct de SalesMan</t>
  </si>
  <si>
    <t>Jan</t>
  </si>
  <si>
    <t>Feb</t>
  </si>
  <si>
    <t>Apr</t>
  </si>
  <si>
    <t>Jun</t>
  </si>
  <si>
    <t>Jul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</si>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</sst>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(* #,##0.00_);_(* \(#,##0.00\);_(* &quot;-&quot;??_);_(@_)"/>
    <numFmt numFmtId="165" formatCode="_-[$$-409]* #,##0.00_ ;_-[$$-409]* \-#,##0.00\ ;_-[$$-409]* &quot;-&quot;_ ;_-@_ "/>
  </numFmts>
  <fonts count="8" x14ac:knownFonts="1">
    <font>
      <sz val="11"/>
      <name val="Calibri"/>
      <family val="2"/>
    </font>
    <font>
      <sz val="11"/>
      <color theme="1"/>
      <name val="Calibri"/>
      <family val="2"/>
      <scheme val="minor"/>
    </font>
    <font>
      <sz val="12"/>
      <name val="Arial Narrow"/>
      <family val="2"/>
    </font>
    <font>
      <u/>
      <sz val="11"/>
      <color indexed="12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horizontal="left" indent="1"/>
    </xf>
    <xf numFmtId="0" fontId="1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30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/>
    <xf numFmtId="0" fontId="6" fillId="2" borderId="1" xfId="0" applyFont="1" applyFill="1" applyBorder="1" applyAlignment="1">
      <alignment vertical="top" wrapText="1"/>
    </xf>
    <xf numFmtId="0" fontId="6" fillId="2" borderId="0" xfId="0" applyFont="1" applyFill="1" applyAlignment="1">
      <alignment vertical="top" wrapText="1"/>
    </xf>
    <xf numFmtId="0" fontId="6" fillId="0" borderId="1" xfId="0" applyFont="1" applyBorder="1"/>
    <xf numFmtId="0" fontId="5" fillId="0" borderId="1" xfId="0" applyFont="1" applyBorder="1" applyAlignment="1">
      <alignment vertical="top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/>
    <xf numFmtId="14" fontId="4" fillId="0" borderId="0" xfId="0" applyNumberFormat="1" applyFont="1" applyAlignment="1">
      <alignment vertical="center"/>
    </xf>
    <xf numFmtId="1" fontId="0" fillId="0" borderId="0" xfId="0" applyNumberFormat="1"/>
    <xf numFmtId="1" fontId="4" fillId="0" borderId="0" xfId="0" applyNumberFormat="1" applyFont="1" applyAlignment="1">
      <alignment vertical="center"/>
    </xf>
    <xf numFmtId="165" fontId="4" fillId="0" borderId="0" xfId="1" applyNumberFormat="1" applyFont="1" applyBorder="1" applyAlignment="1">
      <alignment horizontal="left" vertical="center"/>
    </xf>
    <xf numFmtId="165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8" xfId="0" applyBorder="1"/>
    <xf numFmtId="0" fontId="0" fillId="0" borderId="0" xfId="0" applyBorder="1"/>
    <xf numFmtId="0" fontId="0" fillId="0" borderId="9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7" fillId="0" borderId="0" xfId="0" applyFont="1" applyBorder="1"/>
    <xf numFmtId="0" fontId="7" fillId="0" borderId="0" xfId="0" applyFont="1" applyBorder="1" applyAlignment="1">
      <alignment horizontal="center"/>
    </xf>
  </cellXfs>
  <cellStyles count="5">
    <cellStyle name="Ctx_Hyperlink" xfId="2" xr:uid="{00000000-0005-0000-0000-000001000000}"/>
    <cellStyle name="Hyperlink 2" xfId="4" xr:uid="{00000000-0005-0000-0000-000002000000}"/>
    <cellStyle name="Milliers" xfId="1" builtinId="3"/>
    <cellStyle name="Normal" xfId="0" builtinId="0" customBuiltin="1"/>
    <cellStyle name="Normal 4" xfId="3" xr:uid="{00000000-0005-0000-0000-000004000000}"/>
  </cellStyles>
  <dxfs count="9">
    <dxf>
      <numFmt numFmtId="165" formatCode="_-[$$-409]* #,##0.00_ ;_-[$$-409]* \-#,##0.00\ ;_-[$$-409]* &quot;-&quot;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_-[$$-409]* #,##0.00_ ;_-[$$-409]* \-#,##0.00\ ;_-[$$-409]* &quot;-&quot;_ ;_-@_ 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alignment horizontal="general" vertical="center" textRotation="0" wrapText="0" indent="0" justifyLastLine="0" shrinkToFit="0" readingOrder="0"/>
    </dxf>
    <dxf>
      <font>
        <b/>
        <i val="0"/>
        <color theme="0"/>
      </font>
      <fill>
        <patternFill patternType="solid">
          <bgColor theme="5" tint="-0.24994659260841701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</font>
      <fill>
        <patternFill>
          <fgColor theme="3" tint="0.39991454817346722"/>
          <bgColor theme="5" tint="-0.24994659260841701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9" defaultPivotStyle="PivotStyleLight16">
    <tableStyle name="Style de segment 1" pivot="0" table="0" count="10" xr9:uid="{8BFD5D68-C062-4919-BD6D-7092C433F9A7}">
      <tableStyleElement type="wholeTable" dxfId="8"/>
      <tableStyleElement type="headerRow" dxfId="7"/>
    </tableStyle>
  </tableStyles>
  <colors>
    <mruColors>
      <color rgb="FF008000"/>
    </mruColors>
  </colors>
  <extLst>
    <ext xmlns:x14="http://schemas.microsoft.com/office/spreadsheetml/2009/9/main" uri="{46F421CA-312F-682f-3DD2-61675219B42D}">
      <x14:dxfs count="8">
        <dxf>
          <font>
            <b/>
            <i val="0"/>
            <color theme="1" tint="0.34998626667073579"/>
          </font>
          <fill>
            <patternFill>
              <fgColor theme="5" tint="-0.24994659260841701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color theme="1" tint="0.34998626667073579"/>
          </font>
          <fill>
            <patternFill>
              <bgColor theme="5" tint="-0.24994659260841701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</font>
          <fill>
            <patternFill>
              <bgColor theme="0" tint="-0.14996795556505021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</font>
          <fill>
            <patternFill>
              <bgColor theme="0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1" tint="0.34998626667073579"/>
          </font>
          <fill>
            <patternFill>
              <bgColor theme="5" tint="-0.24994659260841701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</font>
          <fill>
            <patternFill>
              <bgColor theme="0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color theme="1" tint="0.34998626667073579"/>
          </font>
          <fill>
            <patternFill>
              <bgColor theme="5" tint="-0.24994659260841701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</font>
          <fill>
            <patternFill>
              <bgColor theme="5" tint="-0.24994659260841701"/>
            </patternFill>
          </fill>
          <border diagonalUp="0" diagonalDown="0">
            <left/>
            <right/>
            <top/>
            <bottom/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tyle de segment 1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13" Type="http://schemas.openxmlformats.org/officeDocument/2006/relationships/pivotCacheDefinition" Target="pivotCache/pivotCacheDefinition10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pivotCacheDefinition" Target="pivotCache/pivotCacheDefinition4.xml"/><Relationship Id="rId12" Type="http://schemas.openxmlformats.org/officeDocument/2006/relationships/pivotCacheDefinition" Target="pivotCache/pivotCacheDefinition9.xml"/><Relationship Id="rId17" Type="http://schemas.microsoft.com/office/2007/relationships/slicerCache" Target="slicerCaches/slicerCache4.xml"/><Relationship Id="rId2" Type="http://schemas.openxmlformats.org/officeDocument/2006/relationships/worksheet" Target="worksheets/sheet2.xml"/><Relationship Id="rId16" Type="http://schemas.microsoft.com/office/2007/relationships/slicerCache" Target="slicerCaches/slicerCache3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pivotCacheDefinition" Target="pivotCache/pivotCacheDefinition8.xml"/><Relationship Id="rId24" Type="http://schemas.openxmlformats.org/officeDocument/2006/relationships/customXml" Target="../customXml/item1.xml"/><Relationship Id="rId5" Type="http://schemas.openxmlformats.org/officeDocument/2006/relationships/pivotCacheDefinition" Target="pivotCache/pivotCacheDefinition2.xml"/><Relationship Id="rId15" Type="http://schemas.microsoft.com/office/2007/relationships/slicerCache" Target="slicerCaches/slicerCache2.xml"/><Relationship Id="rId23" Type="http://schemas.openxmlformats.org/officeDocument/2006/relationships/calcChain" Target="calcChain.xml"/><Relationship Id="rId10" Type="http://schemas.openxmlformats.org/officeDocument/2006/relationships/pivotCacheDefinition" Target="pivotCache/pivotCacheDefinition7.xml"/><Relationship Id="rId19" Type="http://schemas.openxmlformats.org/officeDocument/2006/relationships/connections" Target="connections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4" Type="http://schemas.microsoft.com/office/2007/relationships/slicerCache" Target="slicerCaches/slicerCache1.xml"/><Relationship Id="rId22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[Sample_salesperson_1.xlsx]TCD!Tableau croisé dynamique5</c:name>
    <c:fmtId val="3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1750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58056817290452"/>
          <c:y val="0.16288323873670663"/>
          <c:w val="0.80294339402662762"/>
          <c:h val="0.60626245125870915"/>
        </c:manualLayout>
      </c:layout>
      <c:lineChart>
        <c:grouping val="standard"/>
        <c:varyColors val="0"/>
        <c:ser>
          <c:idx val="0"/>
          <c:order val="0"/>
          <c:tx>
            <c:strRef>
              <c:f>TCD!$B$7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12700">
                <a:solidFill>
                  <a:schemeClr val="l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cat>
            <c:strRef>
              <c:f>TCD!$A$8:$A$19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TCD!$B$8:$B$19</c:f>
              <c:numCache>
                <c:formatCode>General</c:formatCode>
                <c:ptCount val="12"/>
                <c:pt idx="0">
                  <c:v>161810</c:v>
                </c:pt>
                <c:pt idx="1">
                  <c:v>94703</c:v>
                </c:pt>
                <c:pt idx="2">
                  <c:v>73513</c:v>
                </c:pt>
                <c:pt idx="3">
                  <c:v>220518</c:v>
                </c:pt>
                <c:pt idx="4">
                  <c:v>249650</c:v>
                </c:pt>
                <c:pt idx="5">
                  <c:v>138445</c:v>
                </c:pt>
                <c:pt idx="6">
                  <c:v>61844.5</c:v>
                </c:pt>
                <c:pt idx="7">
                  <c:v>44762</c:v>
                </c:pt>
                <c:pt idx="8">
                  <c:v>26672</c:v>
                </c:pt>
                <c:pt idx="9">
                  <c:v>73672</c:v>
                </c:pt>
                <c:pt idx="10">
                  <c:v>14491</c:v>
                </c:pt>
                <c:pt idx="11">
                  <c:v>145595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B8C-41FA-9786-FAE03FE47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1331727"/>
        <c:axId val="1102658383"/>
      </c:lineChart>
      <c:catAx>
        <c:axId val="10313317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I"/>
                  <a:t>Mois</a:t>
                </a:r>
              </a:p>
            </c:rich>
          </c:tx>
          <c:layout>
            <c:manualLayout>
              <c:xMode val="edge"/>
              <c:yMode val="edge"/>
              <c:x val="0.53665001133739709"/>
              <c:y val="0.892176736411899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02658383"/>
        <c:crosses val="autoZero"/>
        <c:auto val="1"/>
        <c:lblAlgn val="ctr"/>
        <c:lblOffset val="100"/>
        <c:noMultiLvlLbl val="0"/>
      </c:catAx>
      <c:valAx>
        <c:axId val="110265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I"/>
                  <a:t>Chiffre d'affaires</a:t>
                </a:r>
              </a:p>
            </c:rich>
          </c:tx>
          <c:layout>
            <c:manualLayout>
              <c:xMode val="edge"/>
              <c:yMode val="edge"/>
              <c:x val="1.0132718270611881E-2"/>
              <c:y val="0.259934931603994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31331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[Sample_salesperson_1.xlsx]TCD!Tableau croisé dynamique6</c:name>
    <c:fmtId val="3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1750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1750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1750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642909751863929"/>
          <c:y val="0.15622139336445531"/>
          <c:w val="0.68701646631146873"/>
          <c:h val="0.60263979371723886"/>
        </c:manualLayout>
      </c:layout>
      <c:lineChart>
        <c:grouping val="standard"/>
        <c:varyColors val="0"/>
        <c:ser>
          <c:idx val="0"/>
          <c:order val="0"/>
          <c:tx>
            <c:strRef>
              <c:f>TCD!$B$22:$B$23</c:f>
              <c:strCache>
                <c:ptCount val="1"/>
                <c:pt idx="0">
                  <c:v>2018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12700">
                <a:solidFill>
                  <a:schemeClr val="l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cat>
            <c:strRef>
              <c:f>TCD!$A$24:$A$36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TCD!$B$24:$B$36</c:f>
              <c:numCache>
                <c:formatCode>General</c:formatCode>
                <c:ptCount val="12"/>
                <c:pt idx="0">
                  <c:v>138810</c:v>
                </c:pt>
                <c:pt idx="1">
                  <c:v>49203</c:v>
                </c:pt>
                <c:pt idx="2">
                  <c:v>67088</c:v>
                </c:pt>
                <c:pt idx="3">
                  <c:v>119850</c:v>
                </c:pt>
                <c:pt idx="4">
                  <c:v>146156</c:v>
                </c:pt>
                <c:pt idx="5">
                  <c:v>137820</c:v>
                </c:pt>
                <c:pt idx="6">
                  <c:v>55000</c:v>
                </c:pt>
                <c:pt idx="7">
                  <c:v>41930</c:v>
                </c:pt>
                <c:pt idx="8">
                  <c:v>1186</c:v>
                </c:pt>
                <c:pt idx="9">
                  <c:v>28400</c:v>
                </c:pt>
                <c:pt idx="10">
                  <c:v>8991</c:v>
                </c:pt>
                <c:pt idx="11">
                  <c:v>84595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E4-45F4-A46B-D253BB0772EC}"/>
            </c:ext>
          </c:extLst>
        </c:ser>
        <c:ser>
          <c:idx val="1"/>
          <c:order val="1"/>
          <c:tx>
            <c:strRef>
              <c:f>TCD!$C$22:$C$23</c:f>
              <c:strCache>
                <c:ptCount val="1"/>
                <c:pt idx="0">
                  <c:v>2019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12700">
                <a:solidFill>
                  <a:schemeClr val="l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cat>
            <c:strRef>
              <c:f>TCD!$A$24:$A$36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TCD!$C$24:$C$36</c:f>
              <c:numCache>
                <c:formatCode>General</c:formatCode>
                <c:ptCount val="12"/>
                <c:pt idx="0">
                  <c:v>23000</c:v>
                </c:pt>
                <c:pt idx="1">
                  <c:v>45500</c:v>
                </c:pt>
                <c:pt idx="2">
                  <c:v>6425</c:v>
                </c:pt>
                <c:pt idx="3">
                  <c:v>100668</c:v>
                </c:pt>
                <c:pt idx="4">
                  <c:v>103494</c:v>
                </c:pt>
                <c:pt idx="5">
                  <c:v>625</c:v>
                </c:pt>
                <c:pt idx="6">
                  <c:v>6844.5</c:v>
                </c:pt>
                <c:pt idx="7">
                  <c:v>2832</c:v>
                </c:pt>
                <c:pt idx="8">
                  <c:v>25486</c:v>
                </c:pt>
                <c:pt idx="9">
                  <c:v>45272</c:v>
                </c:pt>
                <c:pt idx="10">
                  <c:v>5500</c:v>
                </c:pt>
                <c:pt idx="11">
                  <c:v>61000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CD2-421C-92A1-A1606F6104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7440191"/>
        <c:axId val="977441023"/>
      </c:lineChart>
      <c:catAx>
        <c:axId val="9774401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I"/>
                  <a:t>Mois</a:t>
                </a:r>
              </a:p>
            </c:rich>
          </c:tx>
          <c:layout>
            <c:manualLayout>
              <c:xMode val="edge"/>
              <c:yMode val="edge"/>
              <c:x val="0.4623234598636351"/>
              <c:y val="0.88281792743689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77441023"/>
        <c:crosses val="autoZero"/>
        <c:auto val="1"/>
        <c:lblAlgn val="ctr"/>
        <c:lblOffset val="100"/>
        <c:noMultiLvlLbl val="0"/>
      </c:catAx>
      <c:valAx>
        <c:axId val="977441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I"/>
                  <a:t>Chiffre d'affaires</a:t>
                </a:r>
              </a:p>
            </c:rich>
          </c:tx>
          <c:layout>
            <c:manualLayout>
              <c:xMode val="edge"/>
              <c:yMode val="edge"/>
              <c:x val="1.3675265214001749E-2"/>
              <c:y val="0.283607788512102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77440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891566991570877"/>
          <c:y val="0.47861210627861289"/>
          <c:w val="0.13193895878468886"/>
          <c:h val="0.188463912793427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[Sample_salesperson_1.xlsx]TCD!Tableau croisé dynamique7</c:name>
    <c:fmtId val="3"/>
  </c:pivotSource>
  <c:chart>
    <c:autoTitleDeleted val="1"/>
    <c:pivotFmts>
      <c:pivotFmt>
        <c:idx val="0"/>
        <c:dLbl>
          <c:idx val="0"/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8.9750437489897306E-2"/>
          <c:y val="0.30009359494132565"/>
          <c:w val="0.57099020303748005"/>
          <c:h val="0.603207100037076"/>
        </c:manualLayout>
      </c:layout>
      <c:doughnutChart>
        <c:varyColors val="1"/>
        <c:ser>
          <c:idx val="0"/>
          <c:order val="0"/>
          <c:tx>
            <c:strRef>
              <c:f>TCD!$F$2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AF6-4BCF-83AF-F53DBA7F349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AF6-4BCF-83AF-F53DBA7F349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AF6-4BCF-83AF-F53DBA7F349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TCD!$E$3:$E$5</c:f>
              <c:strCache>
                <c:ptCount val="3"/>
                <c:pt idx="0">
                  <c:v>Central</c:v>
                </c:pt>
                <c:pt idx="1">
                  <c:v>East</c:v>
                </c:pt>
                <c:pt idx="2">
                  <c:v>West</c:v>
                </c:pt>
              </c:strCache>
            </c:strRef>
          </c:cat>
          <c:val>
            <c:numRef>
              <c:f>TCD!$F$3:$F$5</c:f>
              <c:numCache>
                <c:formatCode>General</c:formatCode>
                <c:ptCount val="3"/>
                <c:pt idx="0">
                  <c:v>829769.5</c:v>
                </c:pt>
                <c:pt idx="1">
                  <c:v>321007</c:v>
                </c:pt>
                <c:pt idx="2">
                  <c:v>154899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206-442E-BC36-015A3726FC7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70113109180893"/>
          <c:y val="0.4317283602880887"/>
          <c:w val="0.25920002600341557"/>
          <c:h val="0.319697953300903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[Sample_salesperson_1.xlsx]TCD!Tableau croisé dynamique9</c:name>
    <c:fmtId val="3"/>
  </c:pivotSource>
  <c:chart>
    <c:autoTitleDeleted val="1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02405930557761"/>
          <c:y val="0.15009550618276868"/>
          <c:w val="0.76574077014203534"/>
          <c:h val="0.576740691911858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TCD!$F$8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TCD!$E$9:$E$13</c:f>
              <c:strCache>
                <c:ptCount val="5"/>
                <c:pt idx="0">
                  <c:v>Cell Phone</c:v>
                </c:pt>
                <c:pt idx="1">
                  <c:v>Desk</c:v>
                </c:pt>
                <c:pt idx="2">
                  <c:v>Home Theater</c:v>
                </c:pt>
                <c:pt idx="3">
                  <c:v>Television</c:v>
                </c:pt>
                <c:pt idx="4">
                  <c:v>Video Games</c:v>
                </c:pt>
              </c:strCache>
            </c:strRef>
          </c:cat>
          <c:val>
            <c:numRef>
              <c:f>TCD!$F$9:$F$13</c:f>
              <c:numCache>
                <c:formatCode>General</c:formatCode>
                <c:ptCount val="5"/>
                <c:pt idx="0">
                  <c:v>62550</c:v>
                </c:pt>
                <c:pt idx="1">
                  <c:v>1250</c:v>
                </c:pt>
                <c:pt idx="2">
                  <c:v>361000</c:v>
                </c:pt>
                <c:pt idx="3">
                  <c:v>857768</c:v>
                </c:pt>
                <c:pt idx="4">
                  <c:v>23107.5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421-48A9-9C29-451F1B89151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863010175"/>
        <c:axId val="863011007"/>
      </c:barChart>
      <c:catAx>
        <c:axId val="8630101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I"/>
                  <a:t>Produit</a:t>
                </a:r>
              </a:p>
            </c:rich>
          </c:tx>
          <c:layout>
            <c:manualLayout>
              <c:xMode val="edge"/>
              <c:yMode val="edge"/>
              <c:x val="0.52574713094234793"/>
              <c:y val="0.897929033119799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63011007"/>
        <c:crosses val="autoZero"/>
        <c:auto val="1"/>
        <c:lblAlgn val="ctr"/>
        <c:lblOffset val="100"/>
        <c:noMultiLvlLbl val="0"/>
      </c:catAx>
      <c:valAx>
        <c:axId val="86301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I"/>
                  <a:t>Chiffre d'affaires</a:t>
                </a:r>
              </a:p>
            </c:rich>
          </c:tx>
          <c:layout>
            <c:manualLayout>
              <c:xMode val="edge"/>
              <c:yMode val="edge"/>
              <c:x val="1.6516028466203703E-2"/>
              <c:y val="0.246849865761267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63010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[Sample_salesperson_1.xlsx]TCD!Tableau croisé dynamique10</c:name>
    <c:fmtId val="3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1805187455278921"/>
          <c:y val="0.19231883884079751"/>
          <c:w val="0.74272622328677906"/>
          <c:h val="0.576205687472368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TCD!$F$16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TCD!$E$17:$E$20</c:f>
              <c:strCache>
                <c:ptCount val="4"/>
                <c:pt idx="0">
                  <c:v>Douglas</c:v>
                </c:pt>
                <c:pt idx="1">
                  <c:v>Hermann</c:v>
                </c:pt>
                <c:pt idx="2">
                  <c:v>Martha</c:v>
                </c:pt>
                <c:pt idx="3">
                  <c:v>Timothy</c:v>
                </c:pt>
              </c:strCache>
            </c:strRef>
          </c:cat>
          <c:val>
            <c:numRef>
              <c:f>TCD!$F$17:$F$20</c:f>
              <c:numCache>
                <c:formatCode>General</c:formatCode>
                <c:ptCount val="4"/>
                <c:pt idx="0">
                  <c:v>239056</c:v>
                </c:pt>
                <c:pt idx="1">
                  <c:v>365108.5</c:v>
                </c:pt>
                <c:pt idx="2">
                  <c:v>472493</c:v>
                </c:pt>
                <c:pt idx="3">
                  <c:v>229018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D6C-4A9E-863D-C21B666E87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77436447"/>
        <c:axId val="977434783"/>
      </c:barChart>
      <c:catAx>
        <c:axId val="9774364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I"/>
                  <a:t>Manager</a:t>
                </a:r>
              </a:p>
            </c:rich>
          </c:tx>
          <c:layout>
            <c:manualLayout>
              <c:xMode val="edge"/>
              <c:yMode val="edge"/>
              <c:x val="0.5207058743595524"/>
              <c:y val="0.887449419642362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77434783"/>
        <c:crosses val="autoZero"/>
        <c:auto val="1"/>
        <c:lblAlgn val="ctr"/>
        <c:lblOffset val="100"/>
        <c:noMultiLvlLbl val="0"/>
      </c:catAx>
      <c:valAx>
        <c:axId val="977434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I"/>
                  <a:t>Chiffre d'affaires</a:t>
                </a:r>
              </a:p>
            </c:rich>
          </c:tx>
          <c:layout>
            <c:manualLayout>
              <c:xMode val="edge"/>
              <c:yMode val="edge"/>
              <c:x val="1.3972698557209236E-2"/>
              <c:y val="0.269173829615798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77436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[Sample_salesperson_1.xlsx]TCD!Tableau croisé dynamique11</c:name>
    <c:fmtId val="3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1037975879373891"/>
          <c:y val="0.12911458558045738"/>
          <c:w val="0.70634931374814414"/>
          <c:h val="0.6994040453103709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TCD!$F$23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TCD!$E$24:$E$34</c:f>
              <c:strCache>
                <c:ptCount val="11"/>
                <c:pt idx="0">
                  <c:v>Alexander</c:v>
                </c:pt>
                <c:pt idx="1">
                  <c:v>David</c:v>
                </c:pt>
                <c:pt idx="2">
                  <c:v>Diana</c:v>
                </c:pt>
                <c:pt idx="3">
                  <c:v>John</c:v>
                </c:pt>
                <c:pt idx="4">
                  <c:v>Karen</c:v>
                </c:pt>
                <c:pt idx="5">
                  <c:v>Luis</c:v>
                </c:pt>
                <c:pt idx="6">
                  <c:v>Michael</c:v>
                </c:pt>
                <c:pt idx="7">
                  <c:v>Shelli</c:v>
                </c:pt>
                <c:pt idx="8">
                  <c:v>Sigal</c:v>
                </c:pt>
                <c:pt idx="9">
                  <c:v>Stephen</c:v>
                </c:pt>
                <c:pt idx="10">
                  <c:v>Steven</c:v>
                </c:pt>
              </c:strCache>
            </c:strRef>
          </c:cat>
          <c:val>
            <c:numRef>
              <c:f>TCD!$F$24:$F$34</c:f>
              <c:numCache>
                <c:formatCode>General</c:formatCode>
                <c:ptCount val="11"/>
                <c:pt idx="0">
                  <c:v>236703</c:v>
                </c:pt>
                <c:pt idx="1">
                  <c:v>140955</c:v>
                </c:pt>
                <c:pt idx="2">
                  <c:v>36100</c:v>
                </c:pt>
                <c:pt idx="3">
                  <c:v>124016</c:v>
                </c:pt>
                <c:pt idx="4">
                  <c:v>48204</c:v>
                </c:pt>
                <c:pt idx="5">
                  <c:v>206373</c:v>
                </c:pt>
                <c:pt idx="6">
                  <c:v>66836</c:v>
                </c:pt>
                <c:pt idx="7">
                  <c:v>33698</c:v>
                </c:pt>
                <c:pt idx="8">
                  <c:v>125037.5</c:v>
                </c:pt>
                <c:pt idx="9">
                  <c:v>88063</c:v>
                </c:pt>
                <c:pt idx="10">
                  <c:v>199690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8BA-4611-850B-7DD69773357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00423167"/>
        <c:axId val="200418591"/>
      </c:barChart>
      <c:catAx>
        <c:axId val="20042316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I"/>
                  <a:t>Vendeur</a:t>
                </a:r>
              </a:p>
            </c:rich>
          </c:tx>
          <c:layout>
            <c:manualLayout>
              <c:xMode val="edge"/>
              <c:yMode val="edge"/>
              <c:x val="1.9455824172457243E-2"/>
              <c:y val="0.40885668493017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0418591"/>
        <c:crosses val="autoZero"/>
        <c:auto val="1"/>
        <c:lblAlgn val="ctr"/>
        <c:lblOffset val="100"/>
        <c:noMultiLvlLbl val="0"/>
      </c:catAx>
      <c:valAx>
        <c:axId val="200418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I"/>
                  <a:t>Chiffre d'affaires</a:t>
                </a:r>
              </a:p>
            </c:rich>
          </c:tx>
          <c:layout>
            <c:manualLayout>
              <c:xMode val="edge"/>
              <c:yMode val="edge"/>
              <c:x val="0.46575644743820976"/>
              <c:y val="0.921132062673811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0423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[Sample_salesperson_1.xlsx]TCD!Tableau croisé dynamique12</c:name>
    <c:fmtId val="3"/>
  </c:pivotSource>
  <c:chart>
    <c:autoTitleDeleted val="1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515930708532691"/>
          <c:y val="0.20270242052202497"/>
          <c:w val="0.77285806717039807"/>
          <c:h val="0.48998088658585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TCD!$I$2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TCD!$H$3:$H$7</c:f>
              <c:strCache>
                <c:ptCount val="5"/>
                <c:pt idx="0">
                  <c:v>Cell Phone</c:v>
                </c:pt>
                <c:pt idx="1">
                  <c:v>Desk</c:v>
                </c:pt>
                <c:pt idx="2">
                  <c:v>Home Theater</c:v>
                </c:pt>
                <c:pt idx="3">
                  <c:v>Television</c:v>
                </c:pt>
                <c:pt idx="4">
                  <c:v>Video Games</c:v>
                </c:pt>
              </c:strCache>
            </c:strRef>
          </c:cat>
          <c:val>
            <c:numRef>
              <c:f>TCD!$I$3:$I$7</c:f>
              <c:numCache>
                <c:formatCode>General</c:formatCode>
                <c:ptCount val="5"/>
                <c:pt idx="0">
                  <c:v>278</c:v>
                </c:pt>
                <c:pt idx="1">
                  <c:v>10</c:v>
                </c:pt>
                <c:pt idx="2">
                  <c:v>722</c:v>
                </c:pt>
                <c:pt idx="3">
                  <c:v>716</c:v>
                </c:pt>
                <c:pt idx="4">
                  <c:v>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A28-4FC2-80E2-972E9736BED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54086799"/>
        <c:axId val="654082223"/>
      </c:barChart>
      <c:catAx>
        <c:axId val="6540867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I"/>
                  <a:t>Produit</a:t>
                </a:r>
              </a:p>
            </c:rich>
          </c:tx>
          <c:layout>
            <c:manualLayout>
              <c:xMode val="edge"/>
              <c:yMode val="edge"/>
              <c:x val="0.50467098975875246"/>
              <c:y val="0.882345543985214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4082223"/>
        <c:crosses val="autoZero"/>
        <c:auto val="1"/>
        <c:lblAlgn val="ctr"/>
        <c:lblOffset val="100"/>
        <c:noMultiLvlLbl val="0"/>
      </c:catAx>
      <c:valAx>
        <c:axId val="654082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I"/>
                  <a:t>Quantités</a:t>
                </a:r>
              </a:p>
            </c:rich>
          </c:tx>
          <c:layout>
            <c:manualLayout>
              <c:xMode val="edge"/>
              <c:yMode val="edge"/>
              <c:x val="1.6919075542559895E-2"/>
              <c:y val="0.30964473364884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4086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11247</xdr:colOff>
      <xdr:row>0</xdr:row>
      <xdr:rowOff>6484</xdr:rowOff>
    </xdr:from>
    <xdr:to>
      <xdr:col>87</xdr:col>
      <xdr:colOff>177976</xdr:colOff>
      <xdr:row>54</xdr:row>
      <xdr:rowOff>9430</xdr:rowOff>
    </xdr:to>
    <xdr:sp macro="" textlink="">
      <xdr:nvSpPr>
        <xdr:cNvPr id="3" name="Rectangle : coins arrondis 2">
          <a:extLst>
            <a:ext uri="{FF2B5EF4-FFF2-40B4-BE49-F238E27FC236}">
              <a16:creationId xmlns:a16="http://schemas.microsoft.com/office/drawing/2014/main" id="{67387D49-FD01-4746-A582-1FB0013A6128}"/>
            </a:ext>
          </a:extLst>
        </xdr:cNvPr>
        <xdr:cNvSpPr/>
      </xdr:nvSpPr>
      <xdr:spPr>
        <a:xfrm>
          <a:off x="189841" y="6484"/>
          <a:ext cx="15525791" cy="6432321"/>
        </a:xfrm>
        <a:prstGeom prst="roundRect">
          <a:avLst>
            <a:gd name="adj" fmla="val 1484"/>
          </a:avLst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I" sz="1100"/>
        </a:p>
      </xdr:txBody>
    </xdr:sp>
    <xdr:clientData/>
  </xdr:twoCellAnchor>
  <xdr:twoCellAnchor>
    <xdr:from>
      <xdr:col>2</xdr:col>
      <xdr:colOff>479</xdr:colOff>
      <xdr:row>0</xdr:row>
      <xdr:rowOff>124238</xdr:rowOff>
    </xdr:from>
    <xdr:to>
      <xdr:col>12</xdr:col>
      <xdr:colOff>0</xdr:colOff>
      <xdr:row>52</xdr:row>
      <xdr:rowOff>118323</xdr:rowOff>
    </xdr:to>
    <xdr:sp macro="" textlink="">
      <xdr:nvSpPr>
        <xdr:cNvPr id="4" name="Rectangle : coins arrondis 3">
          <a:extLst>
            <a:ext uri="{FF2B5EF4-FFF2-40B4-BE49-F238E27FC236}">
              <a16:creationId xmlns:a16="http://schemas.microsoft.com/office/drawing/2014/main" id="{7C9C679B-DF0C-420B-9969-EB3219D2D9A6}"/>
            </a:ext>
          </a:extLst>
        </xdr:cNvPr>
        <xdr:cNvSpPr/>
      </xdr:nvSpPr>
      <xdr:spPr>
        <a:xfrm>
          <a:off x="185292" y="124238"/>
          <a:ext cx="1847656" cy="6647369"/>
        </a:xfrm>
        <a:prstGeom prst="roundRect">
          <a:avLst>
            <a:gd name="adj" fmla="val 6804"/>
          </a:avLst>
        </a:prstGeom>
        <a:solidFill>
          <a:schemeClr val="accent2">
            <a:lumMod val="75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I" sz="1100"/>
        </a:p>
      </xdr:txBody>
    </xdr:sp>
    <xdr:clientData/>
  </xdr:twoCellAnchor>
  <xdr:twoCellAnchor editAs="oneCell">
    <xdr:from>
      <xdr:col>2</xdr:col>
      <xdr:colOff>132022</xdr:colOff>
      <xdr:row>39</xdr:row>
      <xdr:rowOff>20566</xdr:rowOff>
    </xdr:from>
    <xdr:to>
      <xdr:col>11</xdr:col>
      <xdr:colOff>20704</xdr:colOff>
      <xdr:row>51</xdr:row>
      <xdr:rowOff>103816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Manager 3">
              <a:extLst>
                <a:ext uri="{FF2B5EF4-FFF2-40B4-BE49-F238E27FC236}">
                  <a16:creationId xmlns:a16="http://schemas.microsoft.com/office/drawing/2014/main" id="{E3789F1E-DA22-4A48-B42B-126D71090A2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nager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0616" y="4664004"/>
              <a:ext cx="1496026" cy="1512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CI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132022</xdr:colOff>
      <xdr:row>27</xdr:row>
      <xdr:rowOff>56285</xdr:rowOff>
    </xdr:from>
    <xdr:to>
      <xdr:col>11</xdr:col>
      <xdr:colOff>20704</xdr:colOff>
      <xdr:row>37</xdr:row>
      <xdr:rowOff>89660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Region 4">
              <a:extLst>
                <a:ext uri="{FF2B5EF4-FFF2-40B4-BE49-F238E27FC236}">
                  <a16:creationId xmlns:a16="http://schemas.microsoft.com/office/drawing/2014/main" id="{2352BEF7-FD7D-4C66-893B-E764B7A940D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0616" y="3270973"/>
              <a:ext cx="1496026" cy="1224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CI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132022</xdr:colOff>
      <xdr:row>2</xdr:row>
      <xdr:rowOff>7565</xdr:rowOff>
    </xdr:from>
    <xdr:to>
      <xdr:col>11</xdr:col>
      <xdr:colOff>20704</xdr:colOff>
      <xdr:row>7</xdr:row>
      <xdr:rowOff>96252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OrderDate (année)">
              <a:extLst>
                <a:ext uri="{FF2B5EF4-FFF2-40B4-BE49-F238E27FC236}">
                  <a16:creationId xmlns:a16="http://schemas.microsoft.com/office/drawing/2014/main" id="{48C595F5-41C3-41F4-A8EE-73FB66DEED9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Date (année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0616" y="245690"/>
              <a:ext cx="1496026" cy="684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CI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132022</xdr:colOff>
      <xdr:row>8</xdr:row>
      <xdr:rowOff>119061</xdr:rowOff>
    </xdr:from>
    <xdr:to>
      <xdr:col>11</xdr:col>
      <xdr:colOff>20704</xdr:colOff>
      <xdr:row>25</xdr:row>
      <xdr:rowOff>110998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OrderDate (mois)">
              <a:extLst>
                <a:ext uri="{FF2B5EF4-FFF2-40B4-BE49-F238E27FC236}">
                  <a16:creationId xmlns:a16="http://schemas.microsoft.com/office/drawing/2014/main" id="{CB8A38D9-8D55-43F6-B35C-64C8BDD4877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Date (mois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0616" y="1071561"/>
              <a:ext cx="1496026" cy="2016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CI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>
    <xdr:from>
      <xdr:col>13</xdr:col>
      <xdr:colOff>3095</xdr:colOff>
      <xdr:row>1</xdr:row>
      <xdr:rowOff>3298</xdr:rowOff>
    </xdr:from>
    <xdr:to>
      <xdr:col>87</xdr:col>
      <xdr:colOff>-1</xdr:colOff>
      <xdr:row>7</xdr:row>
      <xdr:rowOff>-1</xdr:rowOff>
    </xdr:to>
    <xdr:sp macro="" textlink="">
      <xdr:nvSpPr>
        <xdr:cNvPr id="11" name="Rectangle : coins arrondis 10">
          <a:extLst>
            <a:ext uri="{FF2B5EF4-FFF2-40B4-BE49-F238E27FC236}">
              <a16:creationId xmlns:a16="http://schemas.microsoft.com/office/drawing/2014/main" id="{683118A4-4DE6-4721-8FFA-7DED2A0BA790}"/>
            </a:ext>
          </a:extLst>
        </xdr:cNvPr>
        <xdr:cNvSpPr/>
      </xdr:nvSpPr>
      <xdr:spPr>
        <a:xfrm>
          <a:off x="2146220" y="122361"/>
          <a:ext cx="13212842" cy="711076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CI" sz="2800" b="1">
              <a:latin typeface="Arial Black" panose="020B0A04020102020204" pitchFamily="34" charset="0"/>
            </a:rPr>
            <a:t>TABLEAU DE BORD - VENTE</a:t>
          </a:r>
        </a:p>
      </xdr:txBody>
    </xdr:sp>
    <xdr:clientData/>
  </xdr:twoCellAnchor>
  <xdr:twoCellAnchor>
    <xdr:from>
      <xdr:col>38</xdr:col>
      <xdr:colOff>29646</xdr:colOff>
      <xdr:row>8</xdr:row>
      <xdr:rowOff>7258</xdr:rowOff>
    </xdr:from>
    <xdr:to>
      <xdr:col>55</xdr:col>
      <xdr:colOff>123986</xdr:colOff>
      <xdr:row>13</xdr:row>
      <xdr:rowOff>95945</xdr:rowOff>
    </xdr:to>
    <xdr:sp macro="" textlink="">
      <xdr:nvSpPr>
        <xdr:cNvPr id="12" name="Rectangle : coins arrondis 11">
          <a:extLst>
            <a:ext uri="{FF2B5EF4-FFF2-40B4-BE49-F238E27FC236}">
              <a16:creationId xmlns:a16="http://schemas.microsoft.com/office/drawing/2014/main" id="{6AD7DCBA-752B-4833-8EEA-14DE3D321ED9}"/>
            </a:ext>
          </a:extLst>
        </xdr:cNvPr>
        <xdr:cNvSpPr/>
      </xdr:nvSpPr>
      <xdr:spPr>
        <a:xfrm>
          <a:off x="6937272" y="967762"/>
          <a:ext cx="3223983" cy="689002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I" sz="1100"/>
        </a:p>
      </xdr:txBody>
    </xdr:sp>
    <xdr:clientData/>
  </xdr:twoCellAnchor>
  <xdr:twoCellAnchor>
    <xdr:from>
      <xdr:col>34</xdr:col>
      <xdr:colOff>173182</xdr:colOff>
      <xdr:row>34</xdr:row>
      <xdr:rowOff>24</xdr:rowOff>
    </xdr:from>
    <xdr:to>
      <xdr:col>60</xdr:col>
      <xdr:colOff>18</xdr:colOff>
      <xdr:row>52</xdr:row>
      <xdr:rowOff>123700</xdr:rowOff>
    </xdr:to>
    <xdr:graphicFrame macro="">
      <xdr:nvGraphicFramePr>
        <xdr:cNvPr id="16" name="Graphique 15">
          <a:extLst>
            <a:ext uri="{FF2B5EF4-FFF2-40B4-BE49-F238E27FC236}">
              <a16:creationId xmlns:a16="http://schemas.microsoft.com/office/drawing/2014/main" id="{4EE6FB0B-41BA-495A-8196-0CF61BD4FF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60</xdr:col>
      <xdr:colOff>178588</xdr:colOff>
      <xdr:row>33</xdr:row>
      <xdr:rowOff>107156</xdr:rowOff>
    </xdr:from>
    <xdr:to>
      <xdr:col>86</xdr:col>
      <xdr:colOff>178570</xdr:colOff>
      <xdr:row>53</xdr:row>
      <xdr:rowOff>230</xdr:rowOff>
    </xdr:to>
    <xdr:graphicFrame macro="">
      <xdr:nvGraphicFramePr>
        <xdr:cNvPr id="17" name="Graphique 16">
          <a:extLst>
            <a:ext uri="{FF2B5EF4-FFF2-40B4-BE49-F238E27FC236}">
              <a16:creationId xmlns:a16="http://schemas.microsoft.com/office/drawing/2014/main" id="{E193D920-BC40-407D-A8BF-12A37F39D8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54</xdr:col>
      <xdr:colOff>154783</xdr:colOff>
      <xdr:row>14</xdr:row>
      <xdr:rowOff>107155</xdr:rowOff>
    </xdr:from>
    <xdr:to>
      <xdr:col>67</xdr:col>
      <xdr:colOff>109688</xdr:colOff>
      <xdr:row>32</xdr:row>
      <xdr:rowOff>119061</xdr:rowOff>
    </xdr:to>
    <xdr:graphicFrame macro="">
      <xdr:nvGraphicFramePr>
        <xdr:cNvPr id="18" name="Graphique 17">
          <a:extLst>
            <a:ext uri="{FF2B5EF4-FFF2-40B4-BE49-F238E27FC236}">
              <a16:creationId xmlns:a16="http://schemas.microsoft.com/office/drawing/2014/main" id="{AFF159B9-36AD-4D21-9762-A7104B2509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13350</xdr:colOff>
      <xdr:row>8</xdr:row>
      <xdr:rowOff>11905</xdr:rowOff>
    </xdr:from>
    <xdr:to>
      <xdr:col>35</xdr:col>
      <xdr:colOff>25257</xdr:colOff>
      <xdr:row>27</xdr:row>
      <xdr:rowOff>107156</xdr:rowOff>
    </xdr:to>
    <xdr:graphicFrame macro="">
      <xdr:nvGraphicFramePr>
        <xdr:cNvPr id="19" name="Graphique 18">
          <a:extLst>
            <a:ext uri="{FF2B5EF4-FFF2-40B4-BE49-F238E27FC236}">
              <a16:creationId xmlns:a16="http://schemas.microsoft.com/office/drawing/2014/main" id="{92F6A05E-53F5-460D-841F-934CFA3228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35</xdr:col>
      <xdr:colOff>161179</xdr:colOff>
      <xdr:row>14</xdr:row>
      <xdr:rowOff>95249</xdr:rowOff>
    </xdr:from>
    <xdr:to>
      <xdr:col>54</xdr:col>
      <xdr:colOff>11906</xdr:colOff>
      <xdr:row>33</xdr:row>
      <xdr:rowOff>-1</xdr:rowOff>
    </xdr:to>
    <xdr:graphicFrame macro="">
      <xdr:nvGraphicFramePr>
        <xdr:cNvPr id="20" name="Graphique 19">
          <a:extLst>
            <a:ext uri="{FF2B5EF4-FFF2-40B4-BE49-F238E27FC236}">
              <a16:creationId xmlns:a16="http://schemas.microsoft.com/office/drawing/2014/main" id="{5E8AEB1F-924A-4F3C-8026-0327023B0D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178090</xdr:colOff>
      <xdr:row>28</xdr:row>
      <xdr:rowOff>107156</xdr:rowOff>
    </xdr:from>
    <xdr:to>
      <xdr:col>34</xdr:col>
      <xdr:colOff>0</xdr:colOff>
      <xdr:row>52</xdr:row>
      <xdr:rowOff>123700</xdr:rowOff>
    </xdr:to>
    <xdr:graphicFrame macro="">
      <xdr:nvGraphicFramePr>
        <xdr:cNvPr id="21" name="Graphique 20">
          <a:extLst>
            <a:ext uri="{FF2B5EF4-FFF2-40B4-BE49-F238E27FC236}">
              <a16:creationId xmlns:a16="http://schemas.microsoft.com/office/drawing/2014/main" id="{E04FEB7B-D5E7-4394-B13A-BA3AACBD0B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68</xdr:col>
      <xdr:colOff>59532</xdr:colOff>
      <xdr:row>14</xdr:row>
      <xdr:rowOff>107155</xdr:rowOff>
    </xdr:from>
    <xdr:to>
      <xdr:col>86</xdr:col>
      <xdr:colOff>173184</xdr:colOff>
      <xdr:row>32</xdr:row>
      <xdr:rowOff>119061</xdr:rowOff>
    </xdr:to>
    <xdr:graphicFrame macro="">
      <xdr:nvGraphicFramePr>
        <xdr:cNvPr id="22" name="Graphique 21">
          <a:extLst>
            <a:ext uri="{FF2B5EF4-FFF2-40B4-BE49-F238E27FC236}">
              <a16:creationId xmlns:a16="http://schemas.microsoft.com/office/drawing/2014/main" id="{2760388F-B433-4F0F-8256-552B4D391D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56</xdr:col>
      <xdr:colOff>78576</xdr:colOff>
      <xdr:row>8</xdr:row>
      <xdr:rowOff>4877</xdr:rowOff>
    </xdr:from>
    <xdr:to>
      <xdr:col>70</xdr:col>
      <xdr:colOff>136</xdr:colOff>
      <xdr:row>13</xdr:row>
      <xdr:rowOff>93564</xdr:rowOff>
    </xdr:to>
    <xdr:sp macro="" textlink="">
      <xdr:nvSpPr>
        <xdr:cNvPr id="23" name="Rectangle : coins arrondis 22">
          <a:extLst>
            <a:ext uri="{FF2B5EF4-FFF2-40B4-BE49-F238E27FC236}">
              <a16:creationId xmlns:a16="http://schemas.microsoft.com/office/drawing/2014/main" id="{451437D8-EBA9-465E-BCB1-E79C75E9E3E1}"/>
            </a:ext>
          </a:extLst>
        </xdr:cNvPr>
        <xdr:cNvSpPr/>
      </xdr:nvSpPr>
      <xdr:spPr>
        <a:xfrm>
          <a:off x="9901232" y="957377"/>
          <a:ext cx="2421873" cy="684000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I" sz="1100"/>
        </a:p>
      </xdr:txBody>
    </xdr:sp>
    <xdr:clientData/>
  </xdr:twoCellAnchor>
  <xdr:twoCellAnchor>
    <xdr:from>
      <xdr:col>70</xdr:col>
      <xdr:colOff>115825</xdr:colOff>
      <xdr:row>8</xdr:row>
      <xdr:rowOff>8065</xdr:rowOff>
    </xdr:from>
    <xdr:to>
      <xdr:col>83</xdr:col>
      <xdr:colOff>93514</xdr:colOff>
      <xdr:row>13</xdr:row>
      <xdr:rowOff>96752</xdr:rowOff>
    </xdr:to>
    <xdr:sp macro="" textlink="">
      <xdr:nvSpPr>
        <xdr:cNvPr id="24" name="Rectangle : coins arrondis 23">
          <a:extLst>
            <a:ext uri="{FF2B5EF4-FFF2-40B4-BE49-F238E27FC236}">
              <a16:creationId xmlns:a16="http://schemas.microsoft.com/office/drawing/2014/main" id="{1AA09A8E-23AD-4C88-AF05-2F98B943AB57}"/>
            </a:ext>
          </a:extLst>
        </xdr:cNvPr>
        <xdr:cNvSpPr/>
      </xdr:nvSpPr>
      <xdr:spPr>
        <a:xfrm>
          <a:off x="12914543" y="968569"/>
          <a:ext cx="2370946" cy="689002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I" sz="1100"/>
        </a:p>
      </xdr:txBody>
    </xdr:sp>
    <xdr:clientData/>
  </xdr:twoCellAnchor>
  <xdr:oneCellAnchor>
    <xdr:from>
      <xdr:col>44</xdr:col>
      <xdr:colOff>167498</xdr:colOff>
      <xdr:row>8</xdr:row>
      <xdr:rowOff>51175</xdr:rowOff>
    </xdr:from>
    <xdr:ext cx="1783764" cy="648000"/>
    <xdr:sp macro="" textlink="$G$80">
      <xdr:nvSpPr>
        <xdr:cNvPr id="2" name="ZoneTexte 1">
          <a:extLst>
            <a:ext uri="{FF2B5EF4-FFF2-40B4-BE49-F238E27FC236}">
              <a16:creationId xmlns:a16="http://schemas.microsoft.com/office/drawing/2014/main" id="{37BF257C-7D64-4354-8E09-7C225A28C9F1}"/>
            </a:ext>
          </a:extLst>
        </xdr:cNvPr>
        <xdr:cNvSpPr txBox="1"/>
      </xdr:nvSpPr>
      <xdr:spPr>
        <a:xfrm>
          <a:off x="8179704" y="1011679"/>
          <a:ext cx="1783764" cy="64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BBE3B739-9EE2-4726-A277-B622EB286862}" type="TxLink">
            <a:rPr lang="en-US" sz="24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1305675,5</a:t>
          </a:fld>
          <a:endParaRPr lang="fr-CI" sz="2400" b="1">
            <a:solidFill>
              <a:schemeClr val="bg1"/>
            </a:solidFill>
          </a:endParaRPr>
        </a:p>
      </xdr:txBody>
    </xdr:sp>
    <xdr:clientData/>
  </xdr:oneCellAnchor>
  <xdr:oneCellAnchor>
    <xdr:from>
      <xdr:col>63</xdr:col>
      <xdr:colOff>42900</xdr:colOff>
      <xdr:row>8</xdr:row>
      <xdr:rowOff>57673</xdr:rowOff>
    </xdr:from>
    <xdr:ext cx="1107982" cy="648000"/>
    <xdr:sp macro="" textlink="$G$83">
      <xdr:nvSpPr>
        <xdr:cNvPr id="25" name="ZoneTexte 24">
          <a:extLst>
            <a:ext uri="{FF2B5EF4-FFF2-40B4-BE49-F238E27FC236}">
              <a16:creationId xmlns:a16="http://schemas.microsoft.com/office/drawing/2014/main" id="{23827E92-962F-4024-BF7C-EE06C29AF8F9}"/>
            </a:ext>
          </a:extLst>
        </xdr:cNvPr>
        <xdr:cNvSpPr txBox="1"/>
      </xdr:nvSpPr>
      <xdr:spPr>
        <a:xfrm>
          <a:off x="11565827" y="1079868"/>
          <a:ext cx="1107982" cy="64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BE91DA40-5E0F-4FEA-B9BE-8ABBCB785050}" type="TxLink">
            <a:rPr lang="en-US" sz="24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2121</a:t>
          </a:fld>
          <a:endParaRPr lang="fr-CI" sz="2400" b="1">
            <a:solidFill>
              <a:schemeClr val="bg1"/>
            </a:solidFill>
          </a:endParaRPr>
        </a:p>
      </xdr:txBody>
    </xdr:sp>
    <xdr:clientData/>
  </xdr:oneCellAnchor>
  <xdr:oneCellAnchor>
    <xdr:from>
      <xdr:col>77</xdr:col>
      <xdr:colOff>50753</xdr:colOff>
      <xdr:row>8</xdr:row>
      <xdr:rowOff>110188</xdr:rowOff>
    </xdr:from>
    <xdr:ext cx="986359" cy="468013"/>
    <xdr:sp macro="" textlink="$G$86">
      <xdr:nvSpPr>
        <xdr:cNvPr id="26" name="ZoneTexte 25">
          <a:extLst>
            <a:ext uri="{FF2B5EF4-FFF2-40B4-BE49-F238E27FC236}">
              <a16:creationId xmlns:a16="http://schemas.microsoft.com/office/drawing/2014/main" id="{D915C945-E72F-426B-8E95-C1B1635AC887}"/>
            </a:ext>
          </a:extLst>
        </xdr:cNvPr>
        <xdr:cNvSpPr txBox="1"/>
      </xdr:nvSpPr>
      <xdr:spPr>
        <a:xfrm>
          <a:off x="14138148" y="1070692"/>
          <a:ext cx="986359" cy="46801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fld id="{70A9DF66-B3D2-4533-96C3-2F06A1B9D30F}" type="TxLink">
            <a:rPr lang="en-US" sz="24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11</a:t>
          </a:fld>
          <a:endParaRPr lang="fr-CI" sz="2400" b="1">
            <a:solidFill>
              <a:schemeClr val="bg1"/>
            </a:solidFill>
          </a:endParaRPr>
        </a:p>
      </xdr:txBody>
    </xdr:sp>
    <xdr:clientData/>
  </xdr:oneCellAnchor>
  <xdr:twoCellAnchor>
    <xdr:from>
      <xdr:col>38</xdr:col>
      <xdr:colOff>24615</xdr:colOff>
      <xdr:row>8</xdr:row>
      <xdr:rowOff>7743</xdr:rowOff>
    </xdr:from>
    <xdr:to>
      <xdr:col>44</xdr:col>
      <xdr:colOff>117653</xdr:colOff>
      <xdr:row>13</xdr:row>
      <xdr:rowOff>96430</xdr:rowOff>
    </xdr:to>
    <xdr:sp macro="" textlink="">
      <xdr:nvSpPr>
        <xdr:cNvPr id="14" name="Rectangle : coins arrondis 13">
          <a:extLst>
            <a:ext uri="{FF2B5EF4-FFF2-40B4-BE49-F238E27FC236}">
              <a16:creationId xmlns:a16="http://schemas.microsoft.com/office/drawing/2014/main" id="{9592B2EE-F6C8-4105-8B3C-65ED0706FE15}"/>
            </a:ext>
          </a:extLst>
        </xdr:cNvPr>
        <xdr:cNvSpPr/>
      </xdr:nvSpPr>
      <xdr:spPr>
        <a:xfrm>
          <a:off x="6932241" y="968247"/>
          <a:ext cx="1197618" cy="689002"/>
        </a:xfrm>
        <a:prstGeom prst="round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I" sz="1100"/>
        </a:p>
      </xdr:txBody>
    </xdr:sp>
    <xdr:clientData/>
  </xdr:twoCellAnchor>
  <xdr:oneCellAnchor>
    <xdr:from>
      <xdr:col>38</xdr:col>
      <xdr:colOff>71438</xdr:colOff>
      <xdr:row>8</xdr:row>
      <xdr:rowOff>51177</xdr:rowOff>
    </xdr:from>
    <xdr:ext cx="1045736" cy="591760"/>
    <xdr:sp macro="" textlink="">
      <xdr:nvSpPr>
        <xdr:cNvPr id="8" name="ZoneTexte 7">
          <a:extLst>
            <a:ext uri="{FF2B5EF4-FFF2-40B4-BE49-F238E27FC236}">
              <a16:creationId xmlns:a16="http://schemas.microsoft.com/office/drawing/2014/main" id="{0997902D-273C-492D-866C-43EDCECC4880}"/>
            </a:ext>
          </a:extLst>
        </xdr:cNvPr>
        <xdr:cNvSpPr txBox="1"/>
      </xdr:nvSpPr>
      <xdr:spPr>
        <a:xfrm>
          <a:off x="6979064" y="1011681"/>
          <a:ext cx="1045736" cy="59176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fr-CI" sz="1400" b="1">
              <a:solidFill>
                <a:schemeClr val="bg1"/>
              </a:solidFill>
            </a:rPr>
            <a:t>CHIFFRE D'AFFAIRES</a:t>
          </a:r>
        </a:p>
      </xdr:txBody>
    </xdr:sp>
    <xdr:clientData/>
  </xdr:oneCellAnchor>
  <xdr:twoCellAnchor>
    <xdr:from>
      <xdr:col>56</xdr:col>
      <xdr:colOff>77288</xdr:colOff>
      <xdr:row>8</xdr:row>
      <xdr:rowOff>5862</xdr:rowOff>
    </xdr:from>
    <xdr:to>
      <xdr:col>62</xdr:col>
      <xdr:colOff>169573</xdr:colOff>
      <xdr:row>13</xdr:row>
      <xdr:rowOff>94549</xdr:rowOff>
    </xdr:to>
    <xdr:sp macro="" textlink="">
      <xdr:nvSpPr>
        <xdr:cNvPr id="31" name="Rectangle : coins arrondis 30">
          <a:extLst>
            <a:ext uri="{FF2B5EF4-FFF2-40B4-BE49-F238E27FC236}">
              <a16:creationId xmlns:a16="http://schemas.microsoft.com/office/drawing/2014/main" id="{C4850991-FC31-4266-8AC0-8EEA1296C533}"/>
            </a:ext>
          </a:extLst>
        </xdr:cNvPr>
        <xdr:cNvSpPr/>
      </xdr:nvSpPr>
      <xdr:spPr>
        <a:xfrm>
          <a:off x="9899944" y="958362"/>
          <a:ext cx="1163848" cy="684000"/>
        </a:xfrm>
        <a:prstGeom prst="round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I" sz="1100"/>
        </a:p>
      </xdr:txBody>
    </xdr:sp>
    <xdr:clientData/>
  </xdr:twoCellAnchor>
  <xdr:oneCellAnchor>
    <xdr:from>
      <xdr:col>56</xdr:col>
      <xdr:colOff>125686</xdr:colOff>
      <xdr:row>8</xdr:row>
      <xdr:rowOff>61203</xdr:rowOff>
    </xdr:from>
    <xdr:ext cx="1045736" cy="546016"/>
    <xdr:sp macro="" textlink="">
      <xdr:nvSpPr>
        <xdr:cNvPr id="32" name="ZoneTexte 31">
          <a:extLst>
            <a:ext uri="{FF2B5EF4-FFF2-40B4-BE49-F238E27FC236}">
              <a16:creationId xmlns:a16="http://schemas.microsoft.com/office/drawing/2014/main" id="{16EDE58D-97E8-416D-A411-9373175B458D}"/>
            </a:ext>
          </a:extLst>
        </xdr:cNvPr>
        <xdr:cNvSpPr txBox="1"/>
      </xdr:nvSpPr>
      <xdr:spPr>
        <a:xfrm>
          <a:off x="9948342" y="1013703"/>
          <a:ext cx="1045736" cy="54601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fr-CI" sz="1400" b="1">
              <a:solidFill>
                <a:schemeClr val="bg1"/>
              </a:solidFill>
            </a:rPr>
            <a:t>QUANTITÉ VENDUE</a:t>
          </a:r>
        </a:p>
      </xdr:txBody>
    </xdr:sp>
    <xdr:clientData/>
  </xdr:oneCellAnchor>
  <xdr:twoCellAnchor>
    <xdr:from>
      <xdr:col>70</xdr:col>
      <xdr:colOff>116391</xdr:colOff>
      <xdr:row>8</xdr:row>
      <xdr:rowOff>5547</xdr:rowOff>
    </xdr:from>
    <xdr:to>
      <xdr:col>77</xdr:col>
      <xdr:colOff>25330</xdr:colOff>
      <xdr:row>13</xdr:row>
      <xdr:rowOff>94234</xdr:rowOff>
    </xdr:to>
    <xdr:sp macro="" textlink="">
      <xdr:nvSpPr>
        <xdr:cNvPr id="33" name="Rectangle : coins arrondis 32">
          <a:extLst>
            <a:ext uri="{FF2B5EF4-FFF2-40B4-BE49-F238E27FC236}">
              <a16:creationId xmlns:a16="http://schemas.microsoft.com/office/drawing/2014/main" id="{A819F627-F1A3-4D78-8DBB-BD2A9154AF4A}"/>
            </a:ext>
          </a:extLst>
        </xdr:cNvPr>
        <xdr:cNvSpPr/>
      </xdr:nvSpPr>
      <xdr:spPr>
        <a:xfrm>
          <a:off x="12915109" y="966051"/>
          <a:ext cx="1197616" cy="689002"/>
        </a:xfrm>
        <a:prstGeom prst="round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I" sz="1100"/>
        </a:p>
      </xdr:txBody>
    </xdr:sp>
    <xdr:clientData/>
  </xdr:twoCellAnchor>
  <xdr:oneCellAnchor>
    <xdr:from>
      <xdr:col>70</xdr:col>
      <xdr:colOff>164789</xdr:colOff>
      <xdr:row>8</xdr:row>
      <xdr:rowOff>35719</xdr:rowOff>
    </xdr:from>
    <xdr:ext cx="1045736" cy="583406"/>
    <xdr:sp macro="" textlink="">
      <xdr:nvSpPr>
        <xdr:cNvPr id="34" name="ZoneTexte 33">
          <a:extLst>
            <a:ext uri="{FF2B5EF4-FFF2-40B4-BE49-F238E27FC236}">
              <a16:creationId xmlns:a16="http://schemas.microsoft.com/office/drawing/2014/main" id="{5ECCCF19-4CD2-4AFC-9020-1C0BB020F57C}"/>
            </a:ext>
          </a:extLst>
        </xdr:cNvPr>
        <xdr:cNvSpPr txBox="1"/>
      </xdr:nvSpPr>
      <xdr:spPr>
        <a:xfrm>
          <a:off x="12963507" y="996223"/>
          <a:ext cx="1045736" cy="58340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fr-CI" sz="1400" b="1">
              <a:solidFill>
                <a:schemeClr val="bg1"/>
              </a:solidFill>
            </a:rPr>
            <a:t>NOMBRE VENDEUR</a:t>
          </a:r>
        </a:p>
      </xdr:txBody>
    </xdr:sp>
    <xdr:clientData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0.17671</cdr:x>
      <cdr:y>0.02222</cdr:y>
    </cdr:from>
    <cdr:to>
      <cdr:x>0.96957</cdr:x>
      <cdr:y>0.12736</cdr:y>
    </cdr:to>
    <cdr:sp macro="" textlink="">
      <cdr:nvSpPr>
        <cdr:cNvPr id="2" name="ZoneTexte 1">
          <a:extLst xmlns:a="http://schemas.openxmlformats.org/drawingml/2006/main">
            <a:ext uri="{FF2B5EF4-FFF2-40B4-BE49-F238E27FC236}">
              <a16:creationId xmlns:a16="http://schemas.microsoft.com/office/drawing/2014/main" id="{C024193A-3C1C-40FF-A646-17AA9B596A5B}"/>
            </a:ext>
          </a:extLst>
        </cdr:cNvPr>
        <cdr:cNvSpPr txBox="1"/>
      </cdr:nvSpPr>
      <cdr:spPr>
        <a:xfrm xmlns:a="http://schemas.openxmlformats.org/drawingml/2006/main">
          <a:off x="797347" y="50800"/>
          <a:ext cx="3577444" cy="24036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fr-CI" sz="1100" b="1"/>
            <a:t>Évolution</a:t>
          </a:r>
          <a:r>
            <a:rPr lang="fr-CI" sz="1100" b="1" baseline="0"/>
            <a:t> du c</a:t>
          </a:r>
          <a:r>
            <a:rPr lang="fr-CI" sz="1100" b="1"/>
            <a:t>hiffres d'affaires</a:t>
          </a:r>
          <a:r>
            <a:rPr lang="fr-CI" sz="1100" b="1" baseline="0"/>
            <a:t> par mois</a:t>
          </a:r>
          <a:endParaRPr lang="fr-CI" sz="1100" b="1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0.1592</cdr:x>
      <cdr:y>0.01951</cdr:y>
    </cdr:from>
    <cdr:to>
      <cdr:x>0.84616</cdr:x>
      <cdr:y>0.12421</cdr:y>
    </cdr:to>
    <cdr:sp macro="" textlink="">
      <cdr:nvSpPr>
        <cdr:cNvPr id="2" name="ZoneTexte 1">
          <a:extLst xmlns:a="http://schemas.openxmlformats.org/drawingml/2006/main">
            <a:ext uri="{FF2B5EF4-FFF2-40B4-BE49-F238E27FC236}">
              <a16:creationId xmlns:a16="http://schemas.microsoft.com/office/drawing/2014/main" id="{4796EE84-393B-4A9C-BAF2-09F2F0E1C72B}"/>
            </a:ext>
          </a:extLst>
        </cdr:cNvPr>
        <cdr:cNvSpPr txBox="1"/>
      </cdr:nvSpPr>
      <cdr:spPr>
        <a:xfrm xmlns:a="http://schemas.openxmlformats.org/drawingml/2006/main">
          <a:off x="770388" y="44905"/>
          <a:ext cx="3324282" cy="2409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fr-CI" sz="1100" b="1"/>
            <a:t>Chiffre d'affaires par mois</a:t>
          </a:r>
          <a:r>
            <a:rPr lang="fr-CI" sz="1100" b="1" baseline="0"/>
            <a:t> </a:t>
          </a:r>
          <a:r>
            <a:rPr lang="fr-CI" sz="1100" b="1"/>
            <a:t>en fonction de</a:t>
          </a:r>
          <a:r>
            <a:rPr lang="fr-CI" sz="1100" b="1" baseline="0"/>
            <a:t> l'années</a:t>
          </a:r>
          <a:endParaRPr lang="fr-CI" sz="1100" b="1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0.04367</cdr:x>
      <cdr:y>0.01164</cdr:y>
    </cdr:from>
    <cdr:to>
      <cdr:x>0.97066</cdr:x>
      <cdr:y>0.20633</cdr:y>
    </cdr:to>
    <cdr:sp macro="" textlink="">
      <cdr:nvSpPr>
        <cdr:cNvPr id="2" name="ZoneTexte 1">
          <a:extLst xmlns:a="http://schemas.openxmlformats.org/drawingml/2006/main">
            <a:ext uri="{FF2B5EF4-FFF2-40B4-BE49-F238E27FC236}">
              <a16:creationId xmlns:a16="http://schemas.microsoft.com/office/drawing/2014/main" id="{EA324294-51FB-40A5-99CC-7B7D08A66965}"/>
            </a:ext>
          </a:extLst>
        </cdr:cNvPr>
        <cdr:cNvSpPr txBox="1"/>
      </cdr:nvSpPr>
      <cdr:spPr>
        <a:xfrm xmlns:a="http://schemas.openxmlformats.org/drawingml/2006/main">
          <a:off x="97444" y="26751"/>
          <a:ext cx="2068286" cy="44737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fr-CI" sz="1100" b="1"/>
            <a:t>Répartition en pourcentage du</a:t>
          </a:r>
        </a:p>
        <a:p xmlns:a="http://schemas.openxmlformats.org/drawingml/2006/main">
          <a:pPr algn="ctr"/>
          <a:r>
            <a:rPr lang="fr-CI" sz="1100" b="1"/>
            <a:t> chiffre d'affaires</a:t>
          </a:r>
          <a:r>
            <a:rPr lang="fr-CI" sz="1100" b="1" baseline="0"/>
            <a:t> par région</a:t>
          </a:r>
          <a:endParaRPr lang="fr-CI" sz="1100" b="1"/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0.20166</cdr:x>
      <cdr:y>0.01213</cdr:y>
    </cdr:from>
    <cdr:to>
      <cdr:x>0.98014</cdr:x>
      <cdr:y>0.11581</cdr:y>
    </cdr:to>
    <cdr:sp macro="" textlink="">
      <cdr:nvSpPr>
        <cdr:cNvPr id="2" name="ZoneTexte 1">
          <a:extLst xmlns:a="http://schemas.openxmlformats.org/drawingml/2006/main">
            <a:ext uri="{FF2B5EF4-FFF2-40B4-BE49-F238E27FC236}">
              <a16:creationId xmlns:a16="http://schemas.microsoft.com/office/drawing/2014/main" id="{C018EB25-D512-489E-9115-8FBCAEAE76AA}"/>
            </a:ext>
          </a:extLst>
        </cdr:cNvPr>
        <cdr:cNvSpPr txBox="1"/>
      </cdr:nvSpPr>
      <cdr:spPr>
        <a:xfrm xmlns:a="http://schemas.openxmlformats.org/drawingml/2006/main">
          <a:off x="828126" y="28904"/>
          <a:ext cx="3196896" cy="2471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fr-CI" sz="1100" b="1"/>
            <a:t>Répartition du chiffre d'affaires</a:t>
          </a:r>
          <a:r>
            <a:rPr lang="fr-CI" sz="1100" b="1" baseline="0"/>
            <a:t> par produit</a:t>
          </a:r>
          <a:endParaRPr lang="fr-CI" sz="1100" b="1"/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0.09447</cdr:x>
      <cdr:y>0.02253</cdr:y>
    </cdr:from>
    <cdr:to>
      <cdr:x>0.99136</cdr:x>
      <cdr:y>0.13497</cdr:y>
    </cdr:to>
    <cdr:sp macro="" textlink="">
      <cdr:nvSpPr>
        <cdr:cNvPr id="2" name="ZoneTexte 1">
          <a:extLst xmlns:a="http://schemas.openxmlformats.org/drawingml/2006/main">
            <a:ext uri="{FF2B5EF4-FFF2-40B4-BE49-F238E27FC236}">
              <a16:creationId xmlns:a16="http://schemas.microsoft.com/office/drawing/2014/main" id="{A5025C91-7E64-42B7-9C3B-6D3630CA2B84}"/>
            </a:ext>
          </a:extLst>
        </cdr:cNvPr>
        <cdr:cNvSpPr txBox="1"/>
      </cdr:nvSpPr>
      <cdr:spPr>
        <a:xfrm xmlns:a="http://schemas.openxmlformats.org/drawingml/2006/main">
          <a:off x="328681" y="52211"/>
          <a:ext cx="3120570" cy="2606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fr-CI" sz="1100" b="1"/>
            <a:t>Chiffre d'affaires</a:t>
          </a:r>
          <a:r>
            <a:rPr lang="fr-CI" sz="1100" b="1" baseline="0"/>
            <a:t> par manager</a:t>
          </a:r>
          <a:endParaRPr lang="fr-CI" sz="1100" b="1"/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0.10827</cdr:x>
      <cdr:y>0.01748</cdr:y>
    </cdr:from>
    <cdr:to>
      <cdr:x>0.92452</cdr:x>
      <cdr:y>0.10249</cdr:y>
    </cdr:to>
    <cdr:sp macro="" textlink="">
      <cdr:nvSpPr>
        <cdr:cNvPr id="2" name="ZoneTexte 1">
          <a:extLst xmlns:a="http://schemas.openxmlformats.org/drawingml/2006/main">
            <a:ext uri="{FF2B5EF4-FFF2-40B4-BE49-F238E27FC236}">
              <a16:creationId xmlns:a16="http://schemas.microsoft.com/office/drawing/2014/main" id="{F79C8DED-C03E-4F9C-9291-24252ECFCBAC}"/>
            </a:ext>
          </a:extLst>
        </cdr:cNvPr>
        <cdr:cNvSpPr txBox="1"/>
      </cdr:nvSpPr>
      <cdr:spPr>
        <a:xfrm xmlns:a="http://schemas.openxmlformats.org/drawingml/2006/main">
          <a:off x="424065" y="50800"/>
          <a:ext cx="3196896" cy="2471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fr-CI" sz="1100" b="1"/>
            <a:t>Répartition du chiffre d'affaires</a:t>
          </a:r>
          <a:r>
            <a:rPr lang="fr-CI" sz="1100" b="1" baseline="0"/>
            <a:t> par vendeur</a:t>
          </a:r>
          <a:endParaRPr lang="fr-CI" sz="1100" b="1"/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0.03478</cdr:x>
      <cdr:y>0.02269</cdr:y>
    </cdr:from>
    <cdr:to>
      <cdr:x>0.98777</cdr:x>
      <cdr:y>0.13597</cdr:y>
    </cdr:to>
    <cdr:sp macro="" textlink="">
      <cdr:nvSpPr>
        <cdr:cNvPr id="2" name="ZoneTexte 1">
          <a:extLst xmlns:a="http://schemas.openxmlformats.org/drawingml/2006/main">
            <a:ext uri="{FF2B5EF4-FFF2-40B4-BE49-F238E27FC236}">
              <a16:creationId xmlns:a16="http://schemas.microsoft.com/office/drawing/2014/main" id="{37815C1F-1090-40E3-9D32-B67811F98837}"/>
            </a:ext>
          </a:extLst>
        </cdr:cNvPr>
        <cdr:cNvSpPr txBox="1"/>
      </cdr:nvSpPr>
      <cdr:spPr>
        <a:xfrm xmlns:a="http://schemas.openxmlformats.org/drawingml/2006/main">
          <a:off x="111621" y="51945"/>
          <a:ext cx="3058418" cy="2592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fr-CI" sz="1100" b="1"/>
            <a:t>Répartition</a:t>
          </a:r>
          <a:r>
            <a:rPr lang="fr-CI" sz="1100" b="1" baseline="0"/>
            <a:t> des quantités vendues par produit</a:t>
          </a:r>
          <a:endParaRPr lang="fr-CI" sz="1100" b="1"/>
        </a:p>
      </cdr:txBody>
    </cdr:sp>
  </cdr:relSizeAnchor>
</c:userShape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umouni Kabore" refreshedDate="46298.61390138889" backgroundQuery="1" createdVersion="7" refreshedVersion="7" minRefreshableVersion="3" recordCount="0" supportSubquery="1" supportAdvancedDrill="1" xr:uid="{6D9F6D24-FACB-4755-AFEC-6AFD749E9A4A}">
  <cacheSource type="external" connectionId="1"/>
  <cacheFields count="4">
    <cacheField name="[Tableau1].[OrderDate (année)].[OrderDate (année)]" caption="OrderDate (année)" numFmtId="0" hierarchy="8" level="1">
      <sharedItems count="2">
        <s v="2018"/>
        <s v="2019"/>
      </sharedItems>
    </cacheField>
    <cacheField name="[Measures].[Somme de Sale_amt]" caption="Somme de Sale_amt" numFmtId="0" hierarchy="14" level="32767"/>
    <cacheField name="[Tableau1].[OrderDate (mois)].[OrderDate (mois)]" caption="OrderDate (mois)" numFmtId="0" hierarchy="10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Tableau1].[Region].[Region]" caption="Region" numFmtId="0" hierarchy="1" level="1">
      <sharedItems containsSemiMixedTypes="0" containsNonDate="0" containsString="0"/>
    </cacheField>
  </cacheFields>
  <cacheHierarchies count="19">
    <cacheHierarchy uniqueName="[Tableau1].[OrderDate]" caption="OrderDate" attribute="1" time="1" defaultMemberUniqueName="[Tableau1].[OrderDate].[All]" allUniqueName="[Tableau1].[OrderDate].[All]" dimensionUniqueName="[Tableau1]" displayFolder="" count="2" memberValueDatatype="7" unbalanced="0"/>
    <cacheHierarchy uniqueName="[Tableau1].[Region]" caption="Region" attribute="1" defaultMemberUniqueName="[Tableau1].[Region].[All]" allUniqueName="[Tableau1].[Region].[All]" dimensionUniqueName="[Tableau1]" displayFolder="" count="2" memberValueDatatype="130" unbalanced="0">
      <fieldsUsage count="2">
        <fieldUsage x="-1"/>
        <fieldUsage x="3"/>
      </fieldsUsage>
    </cacheHierarchy>
    <cacheHierarchy uniqueName="[Tableau1].[Manager]" caption="Manager" attribute="1" defaultMemberUniqueName="[Tableau1].[Manager].[All]" allUniqueName="[Tableau1].[Manager].[All]" dimensionUniqueName="[Tableau1]" displayFolder="" count="2" memberValueDatatype="130" unbalanced="0"/>
    <cacheHierarchy uniqueName="[Tableau1].[SalesMan]" caption="SalesMan" attribute="1" defaultMemberUniqueName="[Tableau1].[SalesMan].[All]" allUniqueName="[Tableau1].[SalesMan].[All]" dimensionUniqueName="[Tableau1]" displayFolder="" count="2" memberValueDatatype="130" unbalanced="0"/>
    <cacheHierarchy uniqueName="[Tableau1].[Item]" caption="Item" attribute="1" defaultMemberUniqueName="[Tableau1].[Item].[All]" allUniqueName="[Tableau1].[Item].[All]" dimensionUniqueName="[Tableau1]" displayFolder="" count="2" memberValueDatatype="130" unbalanced="0"/>
    <cacheHierarchy uniqueName="[Tableau1].[Units]" caption="Units" attribute="1" defaultMemberUniqueName="[Tableau1].[Units].[All]" allUniqueName="[Tableau1].[Units].[All]" dimensionUniqueName="[Tableau1]" displayFolder="" count="2" memberValueDatatype="20" unbalanced="0"/>
    <cacheHierarchy uniqueName="[Tableau1].[Unit_price]" caption="Unit_price" attribute="1" defaultMemberUniqueName="[Tableau1].[Unit_price].[All]" allUniqueName="[Tableau1].[Unit_price].[All]" dimensionUniqueName="[Tableau1]" displayFolder="" count="2" memberValueDatatype="5" unbalanced="0"/>
    <cacheHierarchy uniqueName="[Tableau1].[Sale_amt]" caption="Sale_amt" attribute="1" defaultMemberUniqueName="[Tableau1].[Sale_amt].[All]" allUniqueName="[Tableau1].[Sale_amt].[All]" dimensionUniqueName="[Tableau1]" displayFolder="" count="2" memberValueDatatype="5" unbalanced="0"/>
    <cacheHierarchy uniqueName="[Tableau1].[OrderDate (année)]" caption="OrderDate (année)" attribute="1" defaultMemberUniqueName="[Tableau1].[OrderDate (année)].[All]" allUniqueName="[Tableau1].[OrderDate (année)].[All]" dimensionUniqueName="[Tableau1]" displayFolder="" count="2" memberValueDatatype="130" unbalanced="0">
      <fieldsUsage count="2">
        <fieldUsage x="-1"/>
        <fieldUsage x="0"/>
      </fieldsUsage>
    </cacheHierarchy>
    <cacheHierarchy uniqueName="[Tableau1].[OrderDate (trimestre)]" caption="OrderDate (trimestre)" attribute="1" defaultMemberUniqueName="[Tableau1].[OrderDate (trimestre)].[All]" allUniqueName="[Tableau1].[OrderDate (trimestre)].[All]" dimensionUniqueName="[Tableau1]" displayFolder="" count="2" memberValueDatatype="130" unbalanced="0"/>
    <cacheHierarchy uniqueName="[Tableau1].[OrderDate (mois)]" caption="OrderDate (mois)" attribute="1" defaultMemberUniqueName="[Tableau1].[OrderDate (mois)].[All]" allUniqueName="[Tableau1].[OrderDate (mois)].[All]" dimensionUniqueName="[Tableau1]" displayFolder="" count="2" memberValueDatatype="130" unbalanced="0">
      <fieldsUsage count="2">
        <fieldUsage x="-1"/>
        <fieldUsage x="2"/>
      </fieldsUsage>
    </cacheHierarchy>
    <cacheHierarchy uniqueName="[Tableau1].[OrderDate (index des mois)]" caption="OrderDate (index des mois)" attribute="1" defaultMemberUniqueName="[Tableau1].[OrderDate (index des mois)].[All]" allUniqueName="[Tableau1].[OrderDate (index des mois)].[All]" dimensionUniqueName="[Tableau1]" displayFolder="" count="2" memberValueDatatype="20" unbalanced="0" hidden="1"/>
    <cacheHierarchy uniqueName="[Measures].[__XL_Count Tableau1]" caption="__XL_Count Tableau1" measure="1" displayFolder="" measureGroup="Tableau1" count="0" hidden="1"/>
    <cacheHierarchy uniqueName="[Measures].[__No measures defined]" caption="__No measures defined" measure="1" displayFolder="" count="0" hidden="1"/>
    <cacheHierarchy uniqueName="[Measures].[Somme de Sale_amt]" caption="Somme de Sale_amt" measure="1" displayFolder="" measureGroup="Tableau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me de Units]" caption="Somme de Units" measure="1" displayFolder="" measureGroup="Tableau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Nombre de Units]" caption="Nombre de Units" measure="1" displayFolder="" measureGroup="Tableau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Nombre de SalesMan]" caption="Nombre de SalesMan" measure="1" displayFolder="" measureGroup="Tableau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Total distinct de SalesMan]" caption="Total distinct de SalesMan" measure="1" displayFolder="" measureGroup="Tableau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Tableau1" uniqueName="[Tableau1]" caption="Tableau1"/>
  </dimensions>
  <measureGroups count="1">
    <measureGroup name="Tableau1" caption="Tableau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umouni Kabore" refreshedDate="46298.623103356484" backgroundQuery="1" createdVersion="7" refreshedVersion="7" minRefreshableVersion="3" recordCount="0" supportSubquery="1" supportAdvancedDrill="1" xr:uid="{64E146F7-31F9-4DCD-8AC2-59DEF7E85AD5}">
  <cacheSource type="external" connectionId="1"/>
  <cacheFields count="2">
    <cacheField name="[Tableau1].[OrderDate (année)].[OrderDate (année)]" caption="OrderDate (année)" numFmtId="0" hierarchy="8" level="1">
      <sharedItems count="2">
        <s v="2018"/>
        <s v="2019"/>
      </sharedItems>
    </cacheField>
    <cacheField name="[Measures].[Somme de Sale_amt]" caption="Somme de Sale_amt" numFmtId="0" hierarchy="14" level="32767"/>
  </cacheFields>
  <cacheHierarchies count="19">
    <cacheHierarchy uniqueName="[Tableau1].[OrderDate]" caption="OrderDate" attribute="1" time="1" defaultMemberUniqueName="[Tableau1].[OrderDate].[All]" allUniqueName="[Tableau1].[OrderDate].[All]" dimensionUniqueName="[Tableau1]" displayFolder="" count="2" memberValueDatatype="7" unbalanced="0"/>
    <cacheHierarchy uniqueName="[Tableau1].[Region]" caption="Region" attribute="1" defaultMemberUniqueName="[Tableau1].[Region].[All]" allUniqueName="[Tableau1].[Region].[All]" dimensionUniqueName="[Tableau1]" displayFolder="" count="2" memberValueDatatype="130" unbalanced="0"/>
    <cacheHierarchy uniqueName="[Tableau1].[Manager]" caption="Manager" attribute="1" defaultMemberUniqueName="[Tableau1].[Manager].[All]" allUniqueName="[Tableau1].[Manager].[All]" dimensionUniqueName="[Tableau1]" displayFolder="" count="2" memberValueDatatype="130" unbalanced="0"/>
    <cacheHierarchy uniqueName="[Tableau1].[SalesMan]" caption="SalesMan" attribute="1" defaultMemberUniqueName="[Tableau1].[SalesMan].[All]" allUniqueName="[Tableau1].[SalesMan].[All]" dimensionUniqueName="[Tableau1]" displayFolder="" count="2" memberValueDatatype="130" unbalanced="0"/>
    <cacheHierarchy uniqueName="[Tableau1].[Item]" caption="Item" attribute="1" defaultMemberUniqueName="[Tableau1].[Item].[All]" allUniqueName="[Tableau1].[Item].[All]" dimensionUniqueName="[Tableau1]" displayFolder="" count="2" memberValueDatatype="130" unbalanced="0"/>
    <cacheHierarchy uniqueName="[Tableau1].[Units]" caption="Units" attribute="1" defaultMemberUniqueName="[Tableau1].[Units].[All]" allUniqueName="[Tableau1].[Units].[All]" dimensionUniqueName="[Tableau1]" displayFolder="" count="2" memberValueDatatype="20" unbalanced="0"/>
    <cacheHierarchy uniqueName="[Tableau1].[Unit_price]" caption="Unit_price" attribute="1" defaultMemberUniqueName="[Tableau1].[Unit_price].[All]" allUniqueName="[Tableau1].[Unit_price].[All]" dimensionUniqueName="[Tableau1]" displayFolder="" count="2" memberValueDatatype="5" unbalanced="0"/>
    <cacheHierarchy uniqueName="[Tableau1].[Sale_amt]" caption="Sale_amt" attribute="1" defaultMemberUniqueName="[Tableau1].[Sale_amt].[All]" allUniqueName="[Tableau1].[Sale_amt].[All]" dimensionUniqueName="[Tableau1]" displayFolder="" count="2" memberValueDatatype="5" unbalanced="0"/>
    <cacheHierarchy uniqueName="[Tableau1].[OrderDate (année)]" caption="OrderDate (année)" attribute="1" defaultMemberUniqueName="[Tableau1].[OrderDate (année)].[All]" allUniqueName="[Tableau1].[OrderDate (année)].[All]" dimensionUniqueName="[Tableau1]" displayFolder="" count="2" memberValueDatatype="130" unbalanced="0">
      <fieldsUsage count="2">
        <fieldUsage x="-1"/>
        <fieldUsage x="0"/>
      </fieldsUsage>
    </cacheHierarchy>
    <cacheHierarchy uniqueName="[Tableau1].[OrderDate (trimestre)]" caption="OrderDate (trimestre)" attribute="1" defaultMemberUniqueName="[Tableau1].[OrderDate (trimestre)].[All]" allUniqueName="[Tableau1].[OrderDate (trimestre)].[All]" dimensionUniqueName="[Tableau1]" displayFolder="" count="2" memberValueDatatype="130" unbalanced="0"/>
    <cacheHierarchy uniqueName="[Tableau1].[OrderDate (mois)]" caption="OrderDate (mois)" attribute="1" defaultMemberUniqueName="[Tableau1].[OrderDate (mois)].[All]" allUniqueName="[Tableau1].[OrderDate (mois)].[All]" dimensionUniqueName="[Tableau1]" displayFolder="" count="2" memberValueDatatype="130" unbalanced="0"/>
    <cacheHierarchy uniqueName="[Tableau1].[OrderDate (index des mois)]" caption="OrderDate (index des mois)" attribute="1" defaultMemberUniqueName="[Tableau1].[OrderDate (index des mois)].[All]" allUniqueName="[Tableau1].[OrderDate (index des mois)].[All]" dimensionUniqueName="[Tableau1]" displayFolder="" count="2" memberValueDatatype="20" unbalanced="0" hidden="1"/>
    <cacheHierarchy uniqueName="[Measures].[__XL_Count Tableau1]" caption="__XL_Count Tableau1" measure="1" displayFolder="" measureGroup="Tableau1" count="0" hidden="1"/>
    <cacheHierarchy uniqueName="[Measures].[__No measures defined]" caption="__No measures defined" measure="1" displayFolder="" count="0" hidden="1"/>
    <cacheHierarchy uniqueName="[Measures].[Somme de Sale_amt]" caption="Somme de Sale_amt" measure="1" displayFolder="" measureGroup="Tableau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me de Units]" caption="Somme de Units" measure="1" displayFolder="" measureGroup="Tableau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Nombre de Units]" caption="Nombre de Units" measure="1" displayFolder="" measureGroup="Tableau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Nombre de SalesMan]" caption="Nombre de SalesMan" measure="1" displayFolder="" measureGroup="Tableau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Total distinct de SalesMan]" caption="Total distinct de SalesMan" measure="1" displayFolder="" measureGroup="Tableau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Tableau1" uniqueName="[Tableau1]" caption="Tableau1"/>
  </dimensions>
  <measureGroups count="1">
    <measureGroup name="Tableau1" caption="Tableau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umouni Kabore" refreshedDate="46298.623103819446" backgroundQuery="1" createdVersion="7" refreshedVersion="7" minRefreshableVersion="3" recordCount="0" supportSubquery="1" supportAdvancedDrill="1" xr:uid="{CD208EF7-BF78-4653-AA45-FEB341DFDF55}">
  <cacheSource type="external" connectionId="1"/>
  <cacheFields count="3">
    <cacheField name="[Measures].[Somme de Sale_amt]" caption="Somme de Sale_amt" numFmtId="0" hierarchy="14" level="32767"/>
    <cacheField name="[Tableau1].[Manager].[Manager]" caption="Manager" numFmtId="0" hierarchy="2" level="1">
      <sharedItems count="4">
        <s v="Douglas"/>
        <s v="Hermann"/>
        <s v="Martha"/>
        <s v="Timothy"/>
      </sharedItems>
    </cacheField>
    <cacheField name="[Tableau1].[OrderDate (année)].[OrderDate (année)]" caption="OrderDate (année)" numFmtId="0" hierarchy="8" level="1">
      <sharedItems containsSemiMixedTypes="0" containsNonDate="0" containsString="0"/>
    </cacheField>
  </cacheFields>
  <cacheHierarchies count="19">
    <cacheHierarchy uniqueName="[Tableau1].[OrderDate]" caption="OrderDate" attribute="1" time="1" defaultMemberUniqueName="[Tableau1].[OrderDate].[All]" allUniqueName="[Tableau1].[OrderDate].[All]" dimensionUniqueName="[Tableau1]" displayFolder="" count="0" memberValueDatatype="7" unbalanced="0"/>
    <cacheHierarchy uniqueName="[Tableau1].[Region]" caption="Region" attribute="1" defaultMemberUniqueName="[Tableau1].[Region].[All]" allUniqueName="[Tableau1].[Region].[All]" dimensionUniqueName="[Tableau1]" displayFolder="" count="2" memberValueDatatype="130" unbalanced="0"/>
    <cacheHierarchy uniqueName="[Tableau1].[Manager]" caption="Manager" attribute="1" defaultMemberUniqueName="[Tableau1].[Manager].[All]" allUniqueName="[Tableau1].[Manager].[All]" dimensionUniqueName="[Tableau1]" displayFolder="" count="2" memberValueDatatype="130" unbalanced="0">
      <fieldsUsage count="2">
        <fieldUsage x="-1"/>
        <fieldUsage x="1"/>
      </fieldsUsage>
    </cacheHierarchy>
    <cacheHierarchy uniqueName="[Tableau1].[SalesMan]" caption="SalesMan" attribute="1" defaultMemberUniqueName="[Tableau1].[SalesMan].[All]" allUniqueName="[Tableau1].[SalesMan].[All]" dimensionUniqueName="[Tableau1]" displayFolder="" count="0" memberValueDatatype="130" unbalanced="0"/>
    <cacheHierarchy uniqueName="[Tableau1].[Item]" caption="Item" attribute="1" defaultMemberUniqueName="[Tableau1].[Item].[All]" allUniqueName="[Tableau1].[Item].[All]" dimensionUniqueName="[Tableau1]" displayFolder="" count="0" memberValueDatatype="130" unbalanced="0"/>
    <cacheHierarchy uniqueName="[Tableau1].[Units]" caption="Units" attribute="1" defaultMemberUniqueName="[Tableau1].[Units].[All]" allUniqueName="[Tableau1].[Units].[All]" dimensionUniqueName="[Tableau1]" displayFolder="" count="0" memberValueDatatype="20" unbalanced="0"/>
    <cacheHierarchy uniqueName="[Tableau1].[Unit_price]" caption="Unit_price" attribute="1" defaultMemberUniqueName="[Tableau1].[Unit_price].[All]" allUniqueName="[Tableau1].[Unit_price].[All]" dimensionUniqueName="[Tableau1]" displayFolder="" count="0" memberValueDatatype="5" unbalanced="0"/>
    <cacheHierarchy uniqueName="[Tableau1].[Sale_amt]" caption="Sale_amt" attribute="1" defaultMemberUniqueName="[Tableau1].[Sale_amt].[All]" allUniqueName="[Tableau1].[Sale_amt].[All]" dimensionUniqueName="[Tableau1]" displayFolder="" count="0" memberValueDatatype="5" unbalanced="0"/>
    <cacheHierarchy uniqueName="[Tableau1].[OrderDate (année)]" caption="OrderDate (année)" attribute="1" defaultMemberUniqueName="[Tableau1].[OrderDate (année)].[All]" allUniqueName="[Tableau1].[OrderDate (année)].[All]" dimensionUniqueName="[Tableau1]" displayFolder="" count="2" memberValueDatatype="130" unbalanced="0">
      <fieldsUsage count="2">
        <fieldUsage x="-1"/>
        <fieldUsage x="2"/>
      </fieldsUsage>
    </cacheHierarchy>
    <cacheHierarchy uniqueName="[Tableau1].[OrderDate (trimestre)]" caption="OrderDate (trimestre)" attribute="1" defaultMemberUniqueName="[Tableau1].[OrderDate (trimestre)].[All]" allUniqueName="[Tableau1].[OrderDate (trimestre)].[All]" dimensionUniqueName="[Tableau1]" displayFolder="" count="0" memberValueDatatype="130" unbalanced="0"/>
    <cacheHierarchy uniqueName="[Tableau1].[OrderDate (mois)]" caption="OrderDate (mois)" attribute="1" defaultMemberUniqueName="[Tableau1].[OrderDate (mois)].[All]" allUniqueName="[Tableau1].[OrderDate (mois)].[All]" dimensionUniqueName="[Tableau1]" displayFolder="" count="2" memberValueDatatype="130" unbalanced="0"/>
    <cacheHierarchy uniqueName="[Tableau1].[OrderDate (index des mois)]" caption="OrderDate (index des mois)" attribute="1" defaultMemberUniqueName="[Tableau1].[OrderDate (index des mois)].[All]" allUniqueName="[Tableau1].[OrderDate (index des mois)].[All]" dimensionUniqueName="[Tableau1]" displayFolder="" count="0" memberValueDatatype="20" unbalanced="0" hidden="1"/>
    <cacheHierarchy uniqueName="[Measures].[__XL_Count Tableau1]" caption="__XL_Count Tableau1" measure="1" displayFolder="" measureGroup="Tableau1" count="0" hidden="1"/>
    <cacheHierarchy uniqueName="[Measures].[__No measures defined]" caption="__No measures defined" measure="1" displayFolder="" count="0" hidden="1"/>
    <cacheHierarchy uniqueName="[Measures].[Somme de Sale_amt]" caption="Somme de Sale_amt" measure="1" displayFolder="" measureGroup="Tableau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me de Units]" caption="Somme de Units" measure="1" displayFolder="" measureGroup="Tableau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Nombre de Units]" caption="Nombre de Units" measure="1" displayFolder="" measureGroup="Tableau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Nombre de SalesMan]" caption="Nombre de SalesMan" measure="1" displayFolder="" measureGroup="Tableau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Total distinct de SalesMan]" caption="Total distinct de SalesMan" measure="1" displayFolder="" measureGroup="Tableau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Tableau1" uniqueName="[Tableau1]" caption="Tableau1"/>
  </dimensions>
  <measureGroups count="1">
    <measureGroup name="Tableau1" caption="Tableau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umouni Kabore" refreshedDate="46298.623104166669" backgroundQuery="1" createdVersion="7" refreshedVersion="7" minRefreshableVersion="3" recordCount="0" supportSubquery="1" supportAdvancedDrill="1" xr:uid="{796C92C8-D976-4A30-B288-F3995FB77350}">
  <cacheSource type="external" connectionId="1"/>
  <cacheFields count="3">
    <cacheField name="[Measures].[Somme de Sale_amt]" caption="Somme de Sale_amt" numFmtId="0" hierarchy="14" level="32767"/>
    <cacheField name="[Tableau1].[SalesMan].[SalesMan]" caption="SalesMan" numFmtId="0" hierarchy="3" level="1">
      <sharedItems count="11">
        <s v="Alexander"/>
        <s v="David"/>
        <s v="Diana"/>
        <s v="John"/>
        <s v="Karen"/>
        <s v="Luis"/>
        <s v="Michael"/>
        <s v="Shelli"/>
        <s v="Sigal"/>
        <s v="Stephen"/>
        <s v="Steven"/>
      </sharedItems>
    </cacheField>
    <cacheField name="[Tableau1].[OrderDate (année)].[OrderDate (année)]" caption="OrderDate (année)" numFmtId="0" hierarchy="8" level="1">
      <sharedItems containsSemiMixedTypes="0" containsNonDate="0" containsString="0"/>
    </cacheField>
  </cacheFields>
  <cacheHierarchies count="19">
    <cacheHierarchy uniqueName="[Tableau1].[OrderDate]" caption="OrderDate" attribute="1" time="1" defaultMemberUniqueName="[Tableau1].[OrderDate].[All]" allUniqueName="[Tableau1].[OrderDate].[All]" dimensionUniqueName="[Tableau1]" displayFolder="" count="0" memberValueDatatype="7" unbalanced="0"/>
    <cacheHierarchy uniqueName="[Tableau1].[Region]" caption="Region" attribute="1" defaultMemberUniqueName="[Tableau1].[Region].[All]" allUniqueName="[Tableau1].[Region].[All]" dimensionUniqueName="[Tableau1]" displayFolder="" count="2" memberValueDatatype="130" unbalanced="0"/>
    <cacheHierarchy uniqueName="[Tableau1].[Manager]" caption="Manager" attribute="1" defaultMemberUniqueName="[Tableau1].[Manager].[All]" allUniqueName="[Tableau1].[Manager].[All]" dimensionUniqueName="[Tableau1]" displayFolder="" count="2" memberValueDatatype="130" unbalanced="0"/>
    <cacheHierarchy uniqueName="[Tableau1].[SalesMan]" caption="SalesMan" attribute="1" defaultMemberUniqueName="[Tableau1].[SalesMan].[All]" allUniqueName="[Tableau1].[SalesMan].[All]" dimensionUniqueName="[Tableau1]" displayFolder="" count="2" memberValueDatatype="130" unbalanced="0">
      <fieldsUsage count="2">
        <fieldUsage x="-1"/>
        <fieldUsage x="1"/>
      </fieldsUsage>
    </cacheHierarchy>
    <cacheHierarchy uniqueName="[Tableau1].[Item]" caption="Item" attribute="1" defaultMemberUniqueName="[Tableau1].[Item].[All]" allUniqueName="[Tableau1].[Item].[All]" dimensionUniqueName="[Tableau1]" displayFolder="" count="0" memberValueDatatype="130" unbalanced="0"/>
    <cacheHierarchy uniqueName="[Tableau1].[Units]" caption="Units" attribute="1" defaultMemberUniqueName="[Tableau1].[Units].[All]" allUniqueName="[Tableau1].[Units].[All]" dimensionUniqueName="[Tableau1]" displayFolder="" count="0" memberValueDatatype="20" unbalanced="0"/>
    <cacheHierarchy uniqueName="[Tableau1].[Unit_price]" caption="Unit_price" attribute="1" defaultMemberUniqueName="[Tableau1].[Unit_price].[All]" allUniqueName="[Tableau1].[Unit_price].[All]" dimensionUniqueName="[Tableau1]" displayFolder="" count="0" memberValueDatatype="5" unbalanced="0"/>
    <cacheHierarchy uniqueName="[Tableau1].[Sale_amt]" caption="Sale_amt" attribute="1" defaultMemberUniqueName="[Tableau1].[Sale_amt].[All]" allUniqueName="[Tableau1].[Sale_amt].[All]" dimensionUniqueName="[Tableau1]" displayFolder="" count="0" memberValueDatatype="5" unbalanced="0"/>
    <cacheHierarchy uniqueName="[Tableau1].[OrderDate (année)]" caption="OrderDate (année)" attribute="1" defaultMemberUniqueName="[Tableau1].[OrderDate (année)].[All]" allUniqueName="[Tableau1].[OrderDate (année)].[All]" dimensionUniqueName="[Tableau1]" displayFolder="" count="2" memberValueDatatype="130" unbalanced="0">
      <fieldsUsage count="2">
        <fieldUsage x="-1"/>
        <fieldUsage x="2"/>
      </fieldsUsage>
    </cacheHierarchy>
    <cacheHierarchy uniqueName="[Tableau1].[OrderDate (trimestre)]" caption="OrderDate (trimestre)" attribute="1" defaultMemberUniqueName="[Tableau1].[OrderDate (trimestre)].[All]" allUniqueName="[Tableau1].[OrderDate (trimestre)].[All]" dimensionUniqueName="[Tableau1]" displayFolder="" count="0" memberValueDatatype="130" unbalanced="0"/>
    <cacheHierarchy uniqueName="[Tableau1].[OrderDate (mois)]" caption="OrderDate (mois)" attribute="1" defaultMemberUniqueName="[Tableau1].[OrderDate (mois)].[All]" allUniqueName="[Tableau1].[OrderDate (mois)].[All]" dimensionUniqueName="[Tableau1]" displayFolder="" count="2" memberValueDatatype="130" unbalanced="0"/>
    <cacheHierarchy uniqueName="[Tableau1].[OrderDate (index des mois)]" caption="OrderDate (index des mois)" attribute="1" defaultMemberUniqueName="[Tableau1].[OrderDate (index des mois)].[All]" allUniqueName="[Tableau1].[OrderDate (index des mois)].[All]" dimensionUniqueName="[Tableau1]" displayFolder="" count="0" memberValueDatatype="20" unbalanced="0" hidden="1"/>
    <cacheHierarchy uniqueName="[Measures].[__XL_Count Tableau1]" caption="__XL_Count Tableau1" measure="1" displayFolder="" measureGroup="Tableau1" count="0" hidden="1"/>
    <cacheHierarchy uniqueName="[Measures].[__No measures defined]" caption="__No measures defined" measure="1" displayFolder="" count="0" hidden="1"/>
    <cacheHierarchy uniqueName="[Measures].[Somme de Sale_amt]" caption="Somme de Sale_amt" measure="1" displayFolder="" measureGroup="Tableau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me de Units]" caption="Somme de Units" measure="1" displayFolder="" measureGroup="Tableau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Nombre de Units]" caption="Nombre de Units" measure="1" displayFolder="" measureGroup="Tableau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Nombre de SalesMan]" caption="Nombre de SalesMan" measure="1" displayFolder="" measureGroup="Tableau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Total distinct de SalesMan]" caption="Total distinct de SalesMan" measure="1" displayFolder="" measureGroup="Tableau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Tableau1" uniqueName="[Tableau1]" caption="Tableau1"/>
  </dimensions>
  <measureGroups count="1">
    <measureGroup name="Tableau1" caption="Tableau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umouni Kabore" refreshedDate="46298.623104513892" backgroundQuery="1" createdVersion="7" refreshedVersion="7" minRefreshableVersion="3" recordCount="0" supportSubquery="1" supportAdvancedDrill="1" xr:uid="{A501DD27-158E-49EE-BD24-CF22C6F7637E}">
  <cacheSource type="external" connectionId="1"/>
  <cacheFields count="3">
    <cacheField name="[Measures].[Somme de Sale_amt]" caption="Somme de Sale_amt" numFmtId="0" hierarchy="14" level="32767"/>
    <cacheField name="[Tableau1].[OrderDate (mois)].[OrderDate (mois)]" caption="OrderDate (mois)" numFmtId="0" hierarchy="10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Tableau1].[OrderDate (année)].[OrderDate (année)]" caption="OrderDate (année)" numFmtId="0" hierarchy="8" level="1">
      <sharedItems containsSemiMixedTypes="0" containsNonDate="0" containsString="0"/>
    </cacheField>
  </cacheFields>
  <cacheHierarchies count="19">
    <cacheHierarchy uniqueName="[Tableau1].[OrderDate]" caption="OrderDate" attribute="1" time="1" defaultMemberUniqueName="[Tableau1].[OrderDate].[All]" allUniqueName="[Tableau1].[OrderDate].[All]" dimensionUniqueName="[Tableau1]" displayFolder="" count="0" memberValueDatatype="7" unbalanced="0"/>
    <cacheHierarchy uniqueName="[Tableau1].[Region]" caption="Region" attribute="1" defaultMemberUniqueName="[Tableau1].[Region].[All]" allUniqueName="[Tableau1].[Region].[All]" dimensionUniqueName="[Tableau1]" displayFolder="" count="2" memberValueDatatype="130" unbalanced="0"/>
    <cacheHierarchy uniqueName="[Tableau1].[Manager]" caption="Manager" attribute="1" defaultMemberUniqueName="[Tableau1].[Manager].[All]" allUniqueName="[Tableau1].[Manager].[All]" dimensionUniqueName="[Tableau1]" displayFolder="" count="2" memberValueDatatype="130" unbalanced="0"/>
    <cacheHierarchy uniqueName="[Tableau1].[SalesMan]" caption="SalesMan" attribute="1" defaultMemberUniqueName="[Tableau1].[SalesMan].[All]" allUniqueName="[Tableau1].[SalesMan].[All]" dimensionUniqueName="[Tableau1]" displayFolder="" count="0" memberValueDatatype="130" unbalanced="0"/>
    <cacheHierarchy uniqueName="[Tableau1].[Item]" caption="Item" attribute="1" defaultMemberUniqueName="[Tableau1].[Item].[All]" allUniqueName="[Tableau1].[Item].[All]" dimensionUniqueName="[Tableau1]" displayFolder="" count="0" memberValueDatatype="130" unbalanced="0"/>
    <cacheHierarchy uniqueName="[Tableau1].[Units]" caption="Units" attribute="1" defaultMemberUniqueName="[Tableau1].[Units].[All]" allUniqueName="[Tableau1].[Units].[All]" dimensionUniqueName="[Tableau1]" displayFolder="" count="0" memberValueDatatype="20" unbalanced="0"/>
    <cacheHierarchy uniqueName="[Tableau1].[Unit_price]" caption="Unit_price" attribute="1" defaultMemberUniqueName="[Tableau1].[Unit_price].[All]" allUniqueName="[Tableau1].[Unit_price].[All]" dimensionUniqueName="[Tableau1]" displayFolder="" count="0" memberValueDatatype="5" unbalanced="0"/>
    <cacheHierarchy uniqueName="[Tableau1].[Sale_amt]" caption="Sale_amt" attribute="1" defaultMemberUniqueName="[Tableau1].[Sale_amt].[All]" allUniqueName="[Tableau1].[Sale_amt].[All]" dimensionUniqueName="[Tableau1]" displayFolder="" count="0" memberValueDatatype="5" unbalanced="0"/>
    <cacheHierarchy uniqueName="[Tableau1].[OrderDate (année)]" caption="OrderDate (année)" attribute="1" defaultMemberUniqueName="[Tableau1].[OrderDate (année)].[All]" allUniqueName="[Tableau1].[OrderDate (année)].[All]" dimensionUniqueName="[Tableau1]" displayFolder="" count="2" memberValueDatatype="130" unbalanced="0">
      <fieldsUsage count="2">
        <fieldUsage x="-1"/>
        <fieldUsage x="2"/>
      </fieldsUsage>
    </cacheHierarchy>
    <cacheHierarchy uniqueName="[Tableau1].[OrderDate (trimestre)]" caption="OrderDate (trimestre)" attribute="1" defaultMemberUniqueName="[Tableau1].[OrderDate (trimestre)].[All]" allUniqueName="[Tableau1].[OrderDate (trimestre)].[All]" dimensionUniqueName="[Tableau1]" displayFolder="" count="0" memberValueDatatype="130" unbalanced="0"/>
    <cacheHierarchy uniqueName="[Tableau1].[OrderDate (mois)]" caption="OrderDate (mois)" attribute="1" defaultMemberUniqueName="[Tableau1].[OrderDate (mois)].[All]" allUniqueName="[Tableau1].[OrderDate (mois)].[All]" dimensionUniqueName="[Tableau1]" displayFolder="" count="2" memberValueDatatype="130" unbalanced="0">
      <fieldsUsage count="2">
        <fieldUsage x="-1"/>
        <fieldUsage x="1"/>
      </fieldsUsage>
    </cacheHierarchy>
    <cacheHierarchy uniqueName="[Tableau1].[OrderDate (index des mois)]" caption="OrderDate (index des mois)" attribute="1" defaultMemberUniqueName="[Tableau1].[OrderDate (index des mois)].[All]" allUniqueName="[Tableau1].[OrderDate (index des mois)].[All]" dimensionUniqueName="[Tableau1]" displayFolder="" count="0" memberValueDatatype="20" unbalanced="0" hidden="1"/>
    <cacheHierarchy uniqueName="[Measures].[__XL_Count Tableau1]" caption="__XL_Count Tableau1" measure="1" displayFolder="" measureGroup="Tableau1" count="0" hidden="1"/>
    <cacheHierarchy uniqueName="[Measures].[__No measures defined]" caption="__No measures defined" measure="1" displayFolder="" count="0" hidden="1"/>
    <cacheHierarchy uniqueName="[Measures].[Somme de Sale_amt]" caption="Somme de Sale_amt" measure="1" displayFolder="" measureGroup="Tableau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me de Units]" caption="Somme de Units" measure="1" displayFolder="" measureGroup="Tableau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Nombre de Units]" caption="Nombre de Units" measure="1" displayFolder="" measureGroup="Tableau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Nombre de SalesMan]" caption="Nombre de SalesMan" measure="1" displayFolder="" measureGroup="Tableau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Total distinct de SalesMan]" caption="Total distinct de SalesMan" measure="1" displayFolder="" measureGroup="Tableau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Tableau1" uniqueName="[Tableau1]" caption="Tableau1"/>
  </dimensions>
  <measureGroups count="1">
    <measureGroup name="Tableau1" caption="Tableau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umouni Kabore" refreshedDate="46298.623104861108" backgroundQuery="1" createdVersion="7" refreshedVersion="7" minRefreshableVersion="3" recordCount="0" supportSubquery="1" supportAdvancedDrill="1" xr:uid="{07A8BE07-640E-4CF6-8C97-A51419AB223C}">
  <cacheSource type="external" connectionId="1"/>
  <cacheFields count="3">
    <cacheField name="[Measures].[Somme de Sale_amt]" caption="Somme de Sale_amt" numFmtId="0" hierarchy="14" level="32767"/>
    <cacheField name="[Tableau1].[Region].[Region]" caption="Region" numFmtId="0" hierarchy="1" level="1">
      <sharedItems count="3">
        <s v="Central"/>
        <s v="East"/>
        <s v="West"/>
      </sharedItems>
    </cacheField>
    <cacheField name="[Tableau1].[OrderDate (année)].[OrderDate (année)]" caption="OrderDate (année)" numFmtId="0" hierarchy="8" level="1">
      <sharedItems containsSemiMixedTypes="0" containsNonDate="0" containsString="0"/>
    </cacheField>
  </cacheFields>
  <cacheHierarchies count="19">
    <cacheHierarchy uniqueName="[Tableau1].[OrderDate]" caption="OrderDate" attribute="1" time="1" defaultMemberUniqueName="[Tableau1].[OrderDate].[All]" allUniqueName="[Tableau1].[OrderDate].[All]" dimensionUniqueName="[Tableau1]" displayFolder="" count="0" memberValueDatatype="7" unbalanced="0"/>
    <cacheHierarchy uniqueName="[Tableau1].[Region]" caption="Region" attribute="1" defaultMemberUniqueName="[Tableau1].[Region].[All]" allUniqueName="[Tableau1].[Region].[All]" dimensionUniqueName="[Tableau1]" displayFolder="" count="2" memberValueDatatype="130" unbalanced="0">
      <fieldsUsage count="2">
        <fieldUsage x="-1"/>
        <fieldUsage x="1"/>
      </fieldsUsage>
    </cacheHierarchy>
    <cacheHierarchy uniqueName="[Tableau1].[Manager]" caption="Manager" attribute="1" defaultMemberUniqueName="[Tableau1].[Manager].[All]" allUniqueName="[Tableau1].[Manager].[All]" dimensionUniqueName="[Tableau1]" displayFolder="" count="2" memberValueDatatype="130" unbalanced="0"/>
    <cacheHierarchy uniqueName="[Tableau1].[SalesMan]" caption="SalesMan" attribute="1" defaultMemberUniqueName="[Tableau1].[SalesMan].[All]" allUniqueName="[Tableau1].[SalesMan].[All]" dimensionUniqueName="[Tableau1]" displayFolder="" count="0" memberValueDatatype="130" unbalanced="0"/>
    <cacheHierarchy uniqueName="[Tableau1].[Item]" caption="Item" attribute="1" defaultMemberUniqueName="[Tableau1].[Item].[All]" allUniqueName="[Tableau1].[Item].[All]" dimensionUniqueName="[Tableau1]" displayFolder="" count="0" memberValueDatatype="130" unbalanced="0"/>
    <cacheHierarchy uniqueName="[Tableau1].[Units]" caption="Units" attribute="1" defaultMemberUniqueName="[Tableau1].[Units].[All]" allUniqueName="[Tableau1].[Units].[All]" dimensionUniqueName="[Tableau1]" displayFolder="" count="0" memberValueDatatype="20" unbalanced="0"/>
    <cacheHierarchy uniqueName="[Tableau1].[Unit_price]" caption="Unit_price" attribute="1" defaultMemberUniqueName="[Tableau1].[Unit_price].[All]" allUniqueName="[Tableau1].[Unit_price].[All]" dimensionUniqueName="[Tableau1]" displayFolder="" count="0" memberValueDatatype="5" unbalanced="0"/>
    <cacheHierarchy uniqueName="[Tableau1].[Sale_amt]" caption="Sale_amt" attribute="1" defaultMemberUniqueName="[Tableau1].[Sale_amt].[All]" allUniqueName="[Tableau1].[Sale_amt].[All]" dimensionUniqueName="[Tableau1]" displayFolder="" count="0" memberValueDatatype="5" unbalanced="0"/>
    <cacheHierarchy uniqueName="[Tableau1].[OrderDate (année)]" caption="OrderDate (année)" attribute="1" defaultMemberUniqueName="[Tableau1].[OrderDate (année)].[All]" allUniqueName="[Tableau1].[OrderDate (année)].[All]" dimensionUniqueName="[Tableau1]" displayFolder="" count="2" memberValueDatatype="130" unbalanced="0">
      <fieldsUsage count="2">
        <fieldUsage x="-1"/>
        <fieldUsage x="2"/>
      </fieldsUsage>
    </cacheHierarchy>
    <cacheHierarchy uniqueName="[Tableau1].[OrderDate (trimestre)]" caption="OrderDate (trimestre)" attribute="1" defaultMemberUniqueName="[Tableau1].[OrderDate (trimestre)].[All]" allUniqueName="[Tableau1].[OrderDate (trimestre)].[All]" dimensionUniqueName="[Tableau1]" displayFolder="" count="0" memberValueDatatype="130" unbalanced="0"/>
    <cacheHierarchy uniqueName="[Tableau1].[OrderDate (mois)]" caption="OrderDate (mois)" attribute="1" defaultMemberUniqueName="[Tableau1].[OrderDate (mois)].[All]" allUniqueName="[Tableau1].[OrderDate (mois)].[All]" dimensionUniqueName="[Tableau1]" displayFolder="" count="2" memberValueDatatype="130" unbalanced="0"/>
    <cacheHierarchy uniqueName="[Tableau1].[OrderDate (index des mois)]" caption="OrderDate (index des mois)" attribute="1" defaultMemberUniqueName="[Tableau1].[OrderDate (index des mois)].[All]" allUniqueName="[Tableau1].[OrderDate (index des mois)].[All]" dimensionUniqueName="[Tableau1]" displayFolder="" count="0" memberValueDatatype="20" unbalanced="0" hidden="1"/>
    <cacheHierarchy uniqueName="[Measures].[__XL_Count Tableau1]" caption="__XL_Count Tableau1" measure="1" displayFolder="" measureGroup="Tableau1" count="0" hidden="1"/>
    <cacheHierarchy uniqueName="[Measures].[__No measures defined]" caption="__No measures defined" measure="1" displayFolder="" count="0" hidden="1"/>
    <cacheHierarchy uniqueName="[Measures].[Somme de Sale_amt]" caption="Somme de Sale_amt" measure="1" displayFolder="" measureGroup="Tableau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me de Units]" caption="Somme de Units" measure="1" displayFolder="" measureGroup="Tableau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Nombre de Units]" caption="Nombre de Units" measure="1" displayFolder="" measureGroup="Tableau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Nombre de SalesMan]" caption="Nombre de SalesMan" measure="1" displayFolder="" measureGroup="Tableau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Total distinct de SalesMan]" caption="Total distinct de SalesMan" measure="1" displayFolder="" measureGroup="Tableau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Tableau1" uniqueName="[Tableau1]" caption="Tableau1"/>
  </dimensions>
  <measureGroups count="1">
    <measureGroup name="Tableau1" caption="Tableau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umouni Kabore" refreshedDate="46298.623105208331" backgroundQuery="1" createdVersion="7" refreshedVersion="7" minRefreshableVersion="3" recordCount="0" supportSubquery="1" supportAdvancedDrill="1" xr:uid="{445F6DC5-837E-426B-AA0E-E4FA099A99DD}">
  <cacheSource type="external" connectionId="1"/>
  <cacheFields count="3">
    <cacheField name="[Measures].[Somme de Sale_amt]" caption="Somme de Sale_amt" numFmtId="0" hierarchy="14" level="32767"/>
    <cacheField name="[Tableau1].[Item].[Item]" caption="Item" numFmtId="0" hierarchy="4" level="1">
      <sharedItems count="5">
        <s v="Cell Phone"/>
        <s v="Desk"/>
        <s v="Home Theater"/>
        <s v="Television"/>
        <s v="Video Games"/>
      </sharedItems>
    </cacheField>
    <cacheField name="[Tableau1].[OrderDate (année)].[OrderDate (année)]" caption="OrderDate (année)" numFmtId="0" hierarchy="8" level="1">
      <sharedItems containsSemiMixedTypes="0" containsNonDate="0" containsString="0"/>
    </cacheField>
  </cacheFields>
  <cacheHierarchies count="19">
    <cacheHierarchy uniqueName="[Tableau1].[OrderDate]" caption="OrderDate" attribute="1" time="1" defaultMemberUniqueName="[Tableau1].[OrderDate].[All]" allUniqueName="[Tableau1].[OrderDate].[All]" dimensionUniqueName="[Tableau1]" displayFolder="" count="0" memberValueDatatype="7" unbalanced="0"/>
    <cacheHierarchy uniqueName="[Tableau1].[Region]" caption="Region" attribute="1" defaultMemberUniqueName="[Tableau1].[Region].[All]" allUniqueName="[Tableau1].[Region].[All]" dimensionUniqueName="[Tableau1]" displayFolder="" count="2" memberValueDatatype="130" unbalanced="0"/>
    <cacheHierarchy uniqueName="[Tableau1].[Manager]" caption="Manager" attribute="1" defaultMemberUniqueName="[Tableau1].[Manager].[All]" allUniqueName="[Tableau1].[Manager].[All]" dimensionUniqueName="[Tableau1]" displayFolder="" count="2" memberValueDatatype="130" unbalanced="0"/>
    <cacheHierarchy uniqueName="[Tableau1].[SalesMan]" caption="SalesMan" attribute="1" defaultMemberUniqueName="[Tableau1].[SalesMan].[All]" allUniqueName="[Tableau1].[SalesMan].[All]" dimensionUniqueName="[Tableau1]" displayFolder="" count="0" memberValueDatatype="130" unbalanced="0"/>
    <cacheHierarchy uniqueName="[Tableau1].[Item]" caption="Item" attribute="1" defaultMemberUniqueName="[Tableau1].[Item].[All]" allUniqueName="[Tableau1].[Item].[All]" dimensionUniqueName="[Tableau1]" displayFolder="" count="2" memberValueDatatype="130" unbalanced="0">
      <fieldsUsage count="2">
        <fieldUsage x="-1"/>
        <fieldUsage x="1"/>
      </fieldsUsage>
    </cacheHierarchy>
    <cacheHierarchy uniqueName="[Tableau1].[Units]" caption="Units" attribute="1" defaultMemberUniqueName="[Tableau1].[Units].[All]" allUniqueName="[Tableau1].[Units].[All]" dimensionUniqueName="[Tableau1]" displayFolder="" count="0" memberValueDatatype="20" unbalanced="0"/>
    <cacheHierarchy uniqueName="[Tableau1].[Unit_price]" caption="Unit_price" attribute="1" defaultMemberUniqueName="[Tableau1].[Unit_price].[All]" allUniqueName="[Tableau1].[Unit_price].[All]" dimensionUniqueName="[Tableau1]" displayFolder="" count="0" memberValueDatatype="5" unbalanced="0"/>
    <cacheHierarchy uniqueName="[Tableau1].[Sale_amt]" caption="Sale_amt" attribute="1" defaultMemberUniqueName="[Tableau1].[Sale_amt].[All]" allUniqueName="[Tableau1].[Sale_amt].[All]" dimensionUniqueName="[Tableau1]" displayFolder="" count="0" memberValueDatatype="5" unbalanced="0"/>
    <cacheHierarchy uniqueName="[Tableau1].[OrderDate (année)]" caption="OrderDate (année)" attribute="1" defaultMemberUniqueName="[Tableau1].[OrderDate (année)].[All]" allUniqueName="[Tableau1].[OrderDate (année)].[All]" dimensionUniqueName="[Tableau1]" displayFolder="" count="2" memberValueDatatype="130" unbalanced="0">
      <fieldsUsage count="2">
        <fieldUsage x="-1"/>
        <fieldUsage x="2"/>
      </fieldsUsage>
    </cacheHierarchy>
    <cacheHierarchy uniqueName="[Tableau1].[OrderDate (trimestre)]" caption="OrderDate (trimestre)" attribute="1" defaultMemberUniqueName="[Tableau1].[OrderDate (trimestre)].[All]" allUniqueName="[Tableau1].[OrderDate (trimestre)].[All]" dimensionUniqueName="[Tableau1]" displayFolder="" count="0" memberValueDatatype="130" unbalanced="0"/>
    <cacheHierarchy uniqueName="[Tableau1].[OrderDate (mois)]" caption="OrderDate (mois)" attribute="1" defaultMemberUniqueName="[Tableau1].[OrderDate (mois)].[All]" allUniqueName="[Tableau1].[OrderDate (mois)].[All]" dimensionUniqueName="[Tableau1]" displayFolder="" count="2" memberValueDatatype="130" unbalanced="0"/>
    <cacheHierarchy uniqueName="[Tableau1].[OrderDate (index des mois)]" caption="OrderDate (index des mois)" attribute="1" defaultMemberUniqueName="[Tableau1].[OrderDate (index des mois)].[All]" allUniqueName="[Tableau1].[OrderDate (index des mois)].[All]" dimensionUniqueName="[Tableau1]" displayFolder="" count="0" memberValueDatatype="20" unbalanced="0" hidden="1"/>
    <cacheHierarchy uniqueName="[Measures].[__XL_Count Tableau1]" caption="__XL_Count Tableau1" measure="1" displayFolder="" measureGroup="Tableau1" count="0" hidden="1"/>
    <cacheHierarchy uniqueName="[Measures].[__No measures defined]" caption="__No measures defined" measure="1" displayFolder="" count="0" hidden="1"/>
    <cacheHierarchy uniqueName="[Measures].[Somme de Sale_amt]" caption="Somme de Sale_amt" measure="1" displayFolder="" measureGroup="Tableau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me de Units]" caption="Somme de Units" measure="1" displayFolder="" measureGroup="Tableau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Nombre de Units]" caption="Nombre de Units" measure="1" displayFolder="" measureGroup="Tableau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Nombre de SalesMan]" caption="Nombre de SalesMan" measure="1" displayFolder="" measureGroup="Tableau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Total distinct de SalesMan]" caption="Total distinct de SalesMan" measure="1" displayFolder="" measureGroup="Tableau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Tableau1" uniqueName="[Tableau1]" caption="Tableau1"/>
  </dimensions>
  <measureGroups count="1">
    <measureGroup name="Tableau1" caption="Tableau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umouni Kabore" refreshedDate="46298.623105671293" backgroundQuery="1" createdVersion="7" refreshedVersion="7" minRefreshableVersion="3" recordCount="0" supportSubquery="1" supportAdvancedDrill="1" xr:uid="{AC2F2E47-0EB1-4300-9C9B-A082F9D30CDF}">
  <cacheSource type="external" connectionId="1"/>
  <cacheFields count="5">
    <cacheField name="[Tableau1].[Region].[Region]" caption="Region" numFmtId="0" hierarchy="1" level="1">
      <sharedItems count="3">
        <s v="Central"/>
        <s v="East"/>
        <s v="West"/>
      </sharedItems>
    </cacheField>
    <cacheField name="[Measures].[Somme de Sale_amt]" caption="Somme de Sale_amt" numFmtId="0" hierarchy="14" level="32767"/>
    <cacheField name="[Measures].[Somme de Units]" caption="Somme de Units" numFmtId="0" hierarchy="15" level="32767"/>
    <cacheField name="[Measures].[Total distinct de SalesMan]" caption="Total distinct de SalesMan" numFmtId="0" hierarchy="18" level="32767"/>
    <cacheField name="[Tableau1].[OrderDate (année)].[OrderDate (année)]" caption="OrderDate (année)" numFmtId="0" hierarchy="8" level="1">
      <sharedItems containsSemiMixedTypes="0" containsNonDate="0" containsString="0"/>
    </cacheField>
  </cacheFields>
  <cacheHierarchies count="19">
    <cacheHierarchy uniqueName="[Tableau1].[OrderDate]" caption="OrderDate" attribute="1" time="1" defaultMemberUniqueName="[Tableau1].[OrderDate].[All]" allUniqueName="[Tableau1].[OrderDate].[All]" dimensionUniqueName="[Tableau1]" displayFolder="" count="0" memberValueDatatype="7" unbalanced="0"/>
    <cacheHierarchy uniqueName="[Tableau1].[Region]" caption="Region" attribute="1" defaultMemberUniqueName="[Tableau1].[Region].[All]" allUniqueName="[Tableau1].[Region].[All]" dimensionUniqueName="[Tableau1]" displayFolder="" count="2" memberValueDatatype="130" unbalanced="0">
      <fieldsUsage count="2">
        <fieldUsage x="-1"/>
        <fieldUsage x="0"/>
      </fieldsUsage>
    </cacheHierarchy>
    <cacheHierarchy uniqueName="[Tableau1].[Manager]" caption="Manager" attribute="1" defaultMemberUniqueName="[Tableau1].[Manager].[All]" allUniqueName="[Tableau1].[Manager].[All]" dimensionUniqueName="[Tableau1]" displayFolder="" count="2" memberValueDatatype="130" unbalanced="0"/>
    <cacheHierarchy uniqueName="[Tableau1].[SalesMan]" caption="SalesMan" attribute="1" defaultMemberUniqueName="[Tableau1].[SalesMan].[All]" allUniqueName="[Tableau1].[SalesMan].[All]" dimensionUniqueName="[Tableau1]" displayFolder="" count="0" memberValueDatatype="130" unbalanced="0"/>
    <cacheHierarchy uniqueName="[Tableau1].[Item]" caption="Item" attribute="1" defaultMemberUniqueName="[Tableau1].[Item].[All]" allUniqueName="[Tableau1].[Item].[All]" dimensionUniqueName="[Tableau1]" displayFolder="" count="0" memberValueDatatype="130" unbalanced="0"/>
    <cacheHierarchy uniqueName="[Tableau1].[Units]" caption="Units" attribute="1" defaultMemberUniqueName="[Tableau1].[Units].[All]" allUniqueName="[Tableau1].[Units].[All]" dimensionUniqueName="[Tableau1]" displayFolder="" count="0" memberValueDatatype="20" unbalanced="0"/>
    <cacheHierarchy uniqueName="[Tableau1].[Unit_price]" caption="Unit_price" attribute="1" defaultMemberUniqueName="[Tableau1].[Unit_price].[All]" allUniqueName="[Tableau1].[Unit_price].[All]" dimensionUniqueName="[Tableau1]" displayFolder="" count="0" memberValueDatatype="5" unbalanced="0"/>
    <cacheHierarchy uniqueName="[Tableau1].[Sale_amt]" caption="Sale_amt" attribute="1" defaultMemberUniqueName="[Tableau1].[Sale_amt].[All]" allUniqueName="[Tableau1].[Sale_amt].[All]" dimensionUniqueName="[Tableau1]" displayFolder="" count="0" memberValueDatatype="5" unbalanced="0"/>
    <cacheHierarchy uniqueName="[Tableau1].[OrderDate (année)]" caption="OrderDate (année)" attribute="1" defaultMemberUniqueName="[Tableau1].[OrderDate (année)].[All]" allUniqueName="[Tableau1].[OrderDate (année)].[All]" dimensionUniqueName="[Tableau1]" displayFolder="" count="2" memberValueDatatype="130" unbalanced="0">
      <fieldsUsage count="2">
        <fieldUsage x="-1"/>
        <fieldUsage x="4"/>
      </fieldsUsage>
    </cacheHierarchy>
    <cacheHierarchy uniqueName="[Tableau1].[OrderDate (trimestre)]" caption="OrderDate (trimestre)" attribute="1" defaultMemberUniqueName="[Tableau1].[OrderDate (trimestre)].[All]" allUniqueName="[Tableau1].[OrderDate (trimestre)].[All]" dimensionUniqueName="[Tableau1]" displayFolder="" count="0" memberValueDatatype="130" unbalanced="0"/>
    <cacheHierarchy uniqueName="[Tableau1].[OrderDate (mois)]" caption="OrderDate (mois)" attribute="1" defaultMemberUniqueName="[Tableau1].[OrderDate (mois)].[All]" allUniqueName="[Tableau1].[OrderDate (mois)].[All]" dimensionUniqueName="[Tableau1]" displayFolder="" count="2" memberValueDatatype="130" unbalanced="0"/>
    <cacheHierarchy uniqueName="[Tableau1].[OrderDate (index des mois)]" caption="OrderDate (index des mois)" attribute="1" defaultMemberUniqueName="[Tableau1].[OrderDate (index des mois)].[All]" allUniqueName="[Tableau1].[OrderDate (index des mois)].[All]" dimensionUniqueName="[Tableau1]" displayFolder="" count="0" memberValueDatatype="20" unbalanced="0" hidden="1"/>
    <cacheHierarchy uniqueName="[Measures].[__XL_Count Tableau1]" caption="__XL_Count Tableau1" measure="1" displayFolder="" measureGroup="Tableau1" count="0" hidden="1"/>
    <cacheHierarchy uniqueName="[Measures].[__No measures defined]" caption="__No measures defined" measure="1" displayFolder="" count="0" hidden="1"/>
    <cacheHierarchy uniqueName="[Measures].[Somme de Sale_amt]" caption="Somme de Sale_amt" measure="1" displayFolder="" measureGroup="Tableau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me de Units]" caption="Somme de Units" measure="1" displayFolder="" measureGroup="Tableau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Nombre de Units]" caption="Nombre de Units" measure="1" displayFolder="" measureGroup="Tableau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Nombre de SalesMan]" caption="Nombre de SalesMan" measure="1" displayFolder="" measureGroup="Tableau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Total distinct de SalesMan]" caption="Total distinct de SalesMan" measure="1" displayFolder="" measureGroup="Tableau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Tableau1" uniqueName="[Tableau1]" caption="Tableau1"/>
  </dimensions>
  <measureGroups count="1">
    <measureGroup name="Tableau1" caption="Tableau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umouni Kabore" refreshedDate="46298.623106018516" backgroundQuery="1" createdVersion="7" refreshedVersion="7" minRefreshableVersion="3" recordCount="0" supportSubquery="1" supportAdvancedDrill="1" xr:uid="{C5791000-7691-4A01-BB12-8E5A8494A389}">
  <cacheSource type="external" connectionId="1"/>
  <cacheFields count="3">
    <cacheField name="[Measures].[Somme de Units]" caption="Somme de Units" numFmtId="0" hierarchy="15" level="32767"/>
    <cacheField name="[Tableau1].[Item].[Item]" caption="Item" numFmtId="0" hierarchy="4" level="1">
      <sharedItems count="5">
        <s v="Cell Phone"/>
        <s v="Desk"/>
        <s v="Home Theater"/>
        <s v="Television"/>
        <s v="Video Games"/>
      </sharedItems>
    </cacheField>
    <cacheField name="[Tableau1].[OrderDate (année)].[OrderDate (année)]" caption="OrderDate (année)" numFmtId="0" hierarchy="8" level="1">
      <sharedItems containsSemiMixedTypes="0" containsNonDate="0" containsString="0"/>
    </cacheField>
  </cacheFields>
  <cacheHierarchies count="19">
    <cacheHierarchy uniqueName="[Tableau1].[OrderDate]" caption="OrderDate" attribute="1" time="1" defaultMemberUniqueName="[Tableau1].[OrderDate].[All]" allUniqueName="[Tableau1].[OrderDate].[All]" dimensionUniqueName="[Tableau1]" displayFolder="" count="0" memberValueDatatype="7" unbalanced="0"/>
    <cacheHierarchy uniqueName="[Tableau1].[Region]" caption="Region" attribute="1" defaultMemberUniqueName="[Tableau1].[Region].[All]" allUniqueName="[Tableau1].[Region].[All]" dimensionUniqueName="[Tableau1]" displayFolder="" count="2" memberValueDatatype="130" unbalanced="0"/>
    <cacheHierarchy uniqueName="[Tableau1].[Manager]" caption="Manager" attribute="1" defaultMemberUniqueName="[Tableau1].[Manager].[All]" allUniqueName="[Tableau1].[Manager].[All]" dimensionUniqueName="[Tableau1]" displayFolder="" count="2" memberValueDatatype="130" unbalanced="0"/>
    <cacheHierarchy uniqueName="[Tableau1].[SalesMan]" caption="SalesMan" attribute="1" defaultMemberUniqueName="[Tableau1].[SalesMan].[All]" allUniqueName="[Tableau1].[SalesMan].[All]" dimensionUniqueName="[Tableau1]" displayFolder="" count="0" memberValueDatatype="130" unbalanced="0"/>
    <cacheHierarchy uniqueName="[Tableau1].[Item]" caption="Item" attribute="1" defaultMemberUniqueName="[Tableau1].[Item].[All]" allUniqueName="[Tableau1].[Item].[All]" dimensionUniqueName="[Tableau1]" displayFolder="" count="2" memberValueDatatype="130" unbalanced="0">
      <fieldsUsage count="2">
        <fieldUsage x="-1"/>
        <fieldUsage x="1"/>
      </fieldsUsage>
    </cacheHierarchy>
    <cacheHierarchy uniqueName="[Tableau1].[Units]" caption="Units" attribute="1" defaultMemberUniqueName="[Tableau1].[Units].[All]" allUniqueName="[Tableau1].[Units].[All]" dimensionUniqueName="[Tableau1]" displayFolder="" count="0" memberValueDatatype="20" unbalanced="0"/>
    <cacheHierarchy uniqueName="[Tableau1].[Unit_price]" caption="Unit_price" attribute="1" defaultMemberUniqueName="[Tableau1].[Unit_price].[All]" allUniqueName="[Tableau1].[Unit_price].[All]" dimensionUniqueName="[Tableau1]" displayFolder="" count="0" memberValueDatatype="5" unbalanced="0"/>
    <cacheHierarchy uniqueName="[Tableau1].[Sale_amt]" caption="Sale_amt" attribute="1" defaultMemberUniqueName="[Tableau1].[Sale_amt].[All]" allUniqueName="[Tableau1].[Sale_amt].[All]" dimensionUniqueName="[Tableau1]" displayFolder="" count="0" memberValueDatatype="5" unbalanced="0"/>
    <cacheHierarchy uniqueName="[Tableau1].[OrderDate (année)]" caption="OrderDate (année)" attribute="1" defaultMemberUniqueName="[Tableau1].[OrderDate (année)].[All]" allUniqueName="[Tableau1].[OrderDate (année)].[All]" dimensionUniqueName="[Tableau1]" displayFolder="" count="2" memberValueDatatype="130" unbalanced="0">
      <fieldsUsage count="2">
        <fieldUsage x="-1"/>
        <fieldUsage x="2"/>
      </fieldsUsage>
    </cacheHierarchy>
    <cacheHierarchy uniqueName="[Tableau1].[OrderDate (trimestre)]" caption="OrderDate (trimestre)" attribute="1" defaultMemberUniqueName="[Tableau1].[OrderDate (trimestre)].[All]" allUniqueName="[Tableau1].[OrderDate (trimestre)].[All]" dimensionUniqueName="[Tableau1]" displayFolder="" count="0" memberValueDatatype="130" unbalanced="0"/>
    <cacheHierarchy uniqueName="[Tableau1].[OrderDate (mois)]" caption="OrderDate (mois)" attribute="1" defaultMemberUniqueName="[Tableau1].[OrderDate (mois)].[All]" allUniqueName="[Tableau1].[OrderDate (mois)].[All]" dimensionUniqueName="[Tableau1]" displayFolder="" count="2" memberValueDatatype="130" unbalanced="0"/>
    <cacheHierarchy uniqueName="[Tableau1].[OrderDate (index des mois)]" caption="OrderDate (index des mois)" attribute="1" defaultMemberUniqueName="[Tableau1].[OrderDate (index des mois)].[All]" allUniqueName="[Tableau1].[OrderDate (index des mois)].[All]" dimensionUniqueName="[Tableau1]" displayFolder="" count="0" memberValueDatatype="20" unbalanced="0" hidden="1"/>
    <cacheHierarchy uniqueName="[Measures].[__XL_Count Tableau1]" caption="__XL_Count Tableau1" measure="1" displayFolder="" measureGroup="Tableau1" count="0" hidden="1"/>
    <cacheHierarchy uniqueName="[Measures].[__No measures defined]" caption="__No measures defined" measure="1" displayFolder="" count="0" hidden="1"/>
    <cacheHierarchy uniqueName="[Measures].[Somme de Sale_amt]" caption="Somme de Sale_amt" measure="1" displayFolder="" measureGroup="Tableau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me de Units]" caption="Somme de Units" measure="1" displayFolder="" measureGroup="Tableau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Nombre de Units]" caption="Nombre de Units" measure="1" displayFolder="" measureGroup="Tableau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Nombre de SalesMan]" caption="Nombre de SalesMan" measure="1" displayFolder="" measureGroup="Tableau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Total distinct de SalesMan]" caption="Total distinct de SalesMan" measure="1" displayFolder="" measureGroup="Tableau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Tableau1" uniqueName="[Tableau1]" caption="Tableau1"/>
  </dimensions>
  <measureGroups count="1">
    <measureGroup name="Tableau1" caption="Tableau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umouni Kabore" refreshedDate="46296.575975925924" backgroundQuery="1" createdVersion="3" refreshedVersion="7" minRefreshableVersion="3" recordCount="0" supportSubquery="1" supportAdvancedDrill="1" xr:uid="{C0008BD0-95AF-4B14-9EBA-F1AB23EE9BEF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19">
    <cacheHierarchy uniqueName="[Tableau1].[OrderDate]" caption="OrderDate" attribute="1" time="1" defaultMemberUniqueName="[Tableau1].[OrderDate].[All]" allUniqueName="[Tableau1].[OrderDate].[All]" dimensionUniqueName="[Tableau1]" displayFolder="" count="0" memberValueDatatype="7" unbalanced="0"/>
    <cacheHierarchy uniqueName="[Tableau1].[Region]" caption="Region" attribute="1" defaultMemberUniqueName="[Tableau1].[Region].[All]" allUniqueName="[Tableau1].[Region].[All]" dimensionUniqueName="[Tableau1]" displayFolder="" count="2" memberValueDatatype="130" unbalanced="0"/>
    <cacheHierarchy uniqueName="[Tableau1].[Manager]" caption="Manager" attribute="1" defaultMemberUniqueName="[Tableau1].[Manager].[All]" allUniqueName="[Tableau1].[Manager].[All]" dimensionUniqueName="[Tableau1]" displayFolder="" count="2" memberValueDatatype="130" unbalanced="0"/>
    <cacheHierarchy uniqueName="[Tableau1].[SalesMan]" caption="SalesMan" attribute="1" defaultMemberUniqueName="[Tableau1].[SalesMan].[All]" allUniqueName="[Tableau1].[SalesMan].[All]" dimensionUniqueName="[Tableau1]" displayFolder="" count="0" memberValueDatatype="130" unbalanced="0"/>
    <cacheHierarchy uniqueName="[Tableau1].[Item]" caption="Item" attribute="1" defaultMemberUniqueName="[Tableau1].[Item].[All]" allUniqueName="[Tableau1].[Item].[All]" dimensionUniqueName="[Tableau1]" displayFolder="" count="0" memberValueDatatype="130" unbalanced="0"/>
    <cacheHierarchy uniqueName="[Tableau1].[Units]" caption="Units" attribute="1" defaultMemberUniqueName="[Tableau1].[Units].[All]" allUniqueName="[Tableau1].[Units].[All]" dimensionUniqueName="[Tableau1]" displayFolder="" count="0" memberValueDatatype="20" unbalanced="0"/>
    <cacheHierarchy uniqueName="[Tableau1].[Unit_price]" caption="Unit_price" attribute="1" defaultMemberUniqueName="[Tableau1].[Unit_price].[All]" allUniqueName="[Tableau1].[Unit_price].[All]" dimensionUniqueName="[Tableau1]" displayFolder="" count="0" memberValueDatatype="5" unbalanced="0"/>
    <cacheHierarchy uniqueName="[Tableau1].[Sale_amt]" caption="Sale_amt" attribute="1" defaultMemberUniqueName="[Tableau1].[Sale_amt].[All]" allUniqueName="[Tableau1].[Sale_amt].[All]" dimensionUniqueName="[Tableau1]" displayFolder="" count="0" memberValueDatatype="5" unbalanced="0"/>
    <cacheHierarchy uniqueName="[Tableau1].[OrderDate (année)]" caption="OrderDate (année)" attribute="1" defaultMemberUniqueName="[Tableau1].[OrderDate (année)].[All]" allUniqueName="[Tableau1].[OrderDate (année)].[All]" dimensionUniqueName="[Tableau1]" displayFolder="" count="2" memberValueDatatype="130" unbalanced="0"/>
    <cacheHierarchy uniqueName="[Tableau1].[OrderDate (trimestre)]" caption="OrderDate (trimestre)" attribute="1" defaultMemberUniqueName="[Tableau1].[OrderDate (trimestre)].[All]" allUniqueName="[Tableau1].[OrderDate (trimestre)].[All]" dimensionUniqueName="[Tableau1]" displayFolder="" count="0" memberValueDatatype="130" unbalanced="0"/>
    <cacheHierarchy uniqueName="[Tableau1].[OrderDate (mois)]" caption="OrderDate (mois)" attribute="1" defaultMemberUniqueName="[Tableau1].[OrderDate (mois)].[All]" allUniqueName="[Tableau1].[OrderDate (mois)].[All]" dimensionUniqueName="[Tableau1]" displayFolder="" count="2" memberValueDatatype="130" unbalanced="0"/>
    <cacheHierarchy uniqueName="[Tableau1].[OrderDate (index des mois)]" caption="OrderDate (index des mois)" attribute="1" defaultMemberUniqueName="[Tableau1].[OrderDate (index des mois)].[All]" allUniqueName="[Tableau1].[OrderDate (index des mois)].[All]" dimensionUniqueName="[Tableau1]" displayFolder="" count="0" memberValueDatatype="20" unbalanced="0" hidden="1"/>
    <cacheHierarchy uniqueName="[Measures].[__XL_Count Tableau1]" caption="__XL_Count Tableau1" measure="1" displayFolder="" measureGroup="Tableau1" count="0" hidden="1"/>
    <cacheHierarchy uniqueName="[Measures].[__No measures defined]" caption="__No measures defined" measure="1" displayFolder="" count="0" hidden="1"/>
    <cacheHierarchy uniqueName="[Measures].[Somme de Sale_amt]" caption="Somme de Sale_amt" measure="1" displayFolder="" measureGroup="Tableau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me de Units]" caption="Somme de Units" measure="1" displayFolder="" measureGroup="Tableau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Nombre de Units]" caption="Nombre de Units" measure="1" displayFolder="" measureGroup="Tableau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Nombre de SalesMan]" caption="Nombre de SalesMan" measure="1" displayFolder="" measureGroup="Tableau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Total distinct de SalesMan]" caption="Total distinct de SalesMan" measure="1" displayFolder="" measureGroup="Tableau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909490416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0409D7-3079-4A8A-A177-A415108C5F08}" name="Tableau croisé dynamique12" cacheId="8" applyNumberFormats="0" applyBorderFormats="0" applyFontFormats="0" applyPatternFormats="0" applyAlignmentFormats="0" applyWidthHeightFormats="1" dataCaption="Valeurs" updatedVersion="7" minRefreshableVersion="3" useAutoFormatting="1" subtotalHiddenItems="1" rowGrandTotals="0" itemPrintTitles="1" createdVersion="7" indent="0" outline="1" outlineData="1" multipleFieldFilters="0" chartFormat="4">
  <location ref="H2:I7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llDrilled="1" subtotalTop="0" showAll="0" dataSourceSort="1" defaultSubtotal="0" defaultAttributeDrillState="1"/>
  </pivotFields>
  <rowFields count="1">
    <field x="1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omme de Units" fld="0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9"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mple_salesperson_1.xlsx!Tableau1">
        <x15:activeTabTopLevelEntity name="[Tableau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E9C167-3EB0-44A1-9EA6-416FD403983F}" name="Tableau croisé dynamique13" cacheId="7" applyNumberFormats="0" applyBorderFormats="0" applyFontFormats="0" applyPatternFormats="0" applyAlignmentFormats="0" applyWidthHeightFormats="1" dataCaption="Valeurs" updatedVersion="7" minRefreshableVersion="3" useAutoFormatting="1" subtotalHiddenItems="1" itemPrintTitles="1" createdVersion="7" indent="0" outline="1" outlineData="1" multipleFieldFilters="0">
  <location ref="H12:K16" firstHeaderRow="0" firstDataRow="1" firstDataCol="1"/>
  <pivotFields count="5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me de Sale_amt" fld="1" baseField="0" baseItem="0"/>
    <dataField name="Somme de Units" fld="2" baseField="0" baseItem="0"/>
    <dataField name="Total distinct de SalesMan" fld="3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19"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Total distinct de SalesMan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mple_salesperson_1.xlsx!Tableau1">
        <x15:activeTabTopLevelEntity name="[Tableau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8633CC-0125-405B-90AB-A8436CDD4555}" name="Tableau croisé dynamique4" cacheId="1" applyNumberFormats="0" applyBorderFormats="0" applyFontFormats="0" applyPatternFormats="0" applyAlignmentFormats="0" applyWidthHeightFormats="1" dataCaption="Valeurs" updatedVersion="7" minRefreshableVersion="3" useAutoFormatting="1" subtotalHiddenItems="1" rowGrandTotals="0" itemPrintTitles="1" createdVersion="7" indent="0" outline="1" outlineData="1" multipleFieldFilters="0" chartFormat="4">
  <location ref="A2:B4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2">
    <i>
      <x/>
    </i>
    <i>
      <x v="1"/>
    </i>
  </rowItems>
  <colItems count="1">
    <i/>
  </colItems>
  <dataFields count="1">
    <dataField name="Somme de Sale_amt" fld="1" baseField="0" baseItem="0"/>
  </dataFields>
  <pivotHierarchies count="19"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mple_salesperson_1.xlsx!Tableau1">
        <x15:activeTabTopLevelEntity name="[Tableau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5154B0-BE93-4CFF-A3FA-15D71D9AC5BB}" name="Tableau croisé dynamique6" cacheId="0" applyNumberFormats="0" applyBorderFormats="0" applyFontFormats="0" applyPatternFormats="0" applyAlignmentFormats="0" applyWidthHeightFormats="1" dataCaption="Valeurs" updatedVersion="7" minRefreshableVersion="3" useAutoFormatting="1" subtotalHiddenItems="1" colGrandTotals="0" itemPrintTitles="1" createdVersion="7" indent="0" outline="1" outlineData="1" multipleFieldFilters="0" chartFormat="4">
  <location ref="A22:C36" firstHeaderRow="1" firstDataRow="2" firstDataCol="1"/>
  <pivotFields count="4"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llDrilled="1" subtotalTop="0" showAll="0" dataSourceSort="1" defaultSubtotal="0" defaultAttributeDrillState="1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0"/>
  </colFields>
  <colItems count="2">
    <i>
      <x/>
    </i>
    <i>
      <x v="1"/>
    </i>
  </colItems>
  <dataFields count="1">
    <dataField name="Somme de Sale_amt" fld="1" baseField="0" baseItem="0"/>
  </dataFields>
  <chartFormats count="3"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9"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colHierarchiesUsage count="1">
    <colHierarchyUsage hierarchyUsage="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mple_salesperson_1.xlsx!Tableau1">
        <x15:activeTabTopLevelEntity name="[Tableau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AD88EE-B89F-463D-83DA-35216478B2C8}" name="Tableau croisé dynamique5" cacheId="4" applyNumberFormats="0" applyBorderFormats="0" applyFontFormats="0" applyPatternFormats="0" applyAlignmentFormats="0" applyWidthHeightFormats="1" dataCaption="Valeurs" updatedVersion="7" minRefreshableVersion="3" useAutoFormatting="1" subtotalHiddenItems="1" rowGrandTotals="0" itemPrintTitles="1" createdVersion="7" indent="0" outline="1" outlineData="1" multipleFieldFilters="0" chartFormat="4">
  <location ref="A7:B19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llDrilled="1" subtotalTop="0" showAll="0" dataSourceSort="1" defaultSubtotal="0" defaultAttributeDrillState="1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dataFields count="1">
    <dataField name="Somme de Sale_amt" fld="0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9"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mple_salesperson_1.xlsx!Tableau1">
        <x15:activeTabTopLevelEntity name="[Tableau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0AFFBF-A8B8-4EE1-A327-6DA46634D466}" name="Tableau croisé dynamique11" cacheId="3" applyNumberFormats="0" applyBorderFormats="0" applyFontFormats="0" applyPatternFormats="0" applyAlignmentFormats="0" applyWidthHeightFormats="1" dataCaption="Valeurs" updatedVersion="7" minRefreshableVersion="3" useAutoFormatting="1" subtotalHiddenItems="1" rowGrandTotals="0" itemPrintTitles="1" createdVersion="7" indent="0" outline="1" outlineData="1" multipleFieldFilters="0" chartFormat="4">
  <location ref="E23:F34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llDrilled="1" subtotalTop="0" showAll="0" dataSourceSort="1" defaultSubtotal="0" defaultAttributeDrillState="1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</rowItems>
  <colItems count="1">
    <i/>
  </colItems>
  <dataFields count="1">
    <dataField name="Somme de Sale_amt" fld="0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9"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mple_salesperson_1.xlsx!Tableau1">
        <x15:activeTabTopLevelEntity name="[Tableau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EA8525-1970-468F-9FFC-47219510C1CF}" name="Tableau croisé dynamique10" cacheId="2" applyNumberFormats="0" applyBorderFormats="0" applyFontFormats="0" applyPatternFormats="0" applyAlignmentFormats="0" applyWidthHeightFormats="1" dataCaption="Valeurs" updatedVersion="7" minRefreshableVersion="3" useAutoFormatting="1" subtotalHiddenItems="1" rowGrandTotals="0" itemPrintTitles="1" createdVersion="7" indent="0" outline="1" outlineData="1" multipleFieldFilters="0" chartFormat="4">
  <location ref="E16:F20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llDrilled="1" subtotalTop="0" showAll="0" dataSourceSort="1" defaultSubtotal="0" defaultAttributeDrillState="1"/>
  </pivotFields>
  <rowFields count="1">
    <field x="1"/>
  </rowFields>
  <rowItems count="4">
    <i>
      <x/>
    </i>
    <i>
      <x v="1"/>
    </i>
    <i>
      <x v="2"/>
    </i>
    <i>
      <x v="3"/>
    </i>
  </rowItems>
  <colItems count="1">
    <i/>
  </colItems>
  <dataFields count="1">
    <dataField name="Somme de Sale_amt" fld="0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9"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mple_salesperson_1.xlsx!Tableau1">
        <x15:activeTabTopLevelEntity name="[Tableau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4B99D4-9DE9-4A81-A591-5FBA7A01DEFB}" name="Tableau croisé dynamique7" cacheId="5" applyNumberFormats="0" applyBorderFormats="0" applyFontFormats="0" applyPatternFormats="0" applyAlignmentFormats="0" applyWidthHeightFormats="1" dataCaption="Valeurs" updatedVersion="7" minRefreshableVersion="3" useAutoFormatting="1" subtotalHiddenItems="1" rowGrandTotals="0" itemPrintTitles="1" createdVersion="7" indent="0" outline="1" outlineData="1" multipleFieldFilters="0" chartFormat="4">
  <location ref="E2:F5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llDrilled="1" subtotalTop="0" showAll="0" dataSourceSort="1" defaultSubtotal="0" defaultAttributeDrillState="1"/>
  </pivotFields>
  <rowFields count="1">
    <field x="1"/>
  </rowFields>
  <rowItems count="3">
    <i>
      <x/>
    </i>
    <i>
      <x v="1"/>
    </i>
    <i>
      <x v="2"/>
    </i>
  </rowItems>
  <colItems count="1">
    <i/>
  </colItems>
  <dataFields count="1">
    <dataField name="Somme de Sale_amt" fld="0" baseField="0" baseItem="0"/>
  </dataFields>
  <chartFormats count="5"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9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9"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mple_salesperson_1.xlsx!Tableau1">
        <x15:activeTabTopLevelEntity name="[Tableau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8E0D24-8294-4C31-A8CE-8EC149D5CCD5}" name="Tableau croisé dynamique9" cacheId="6" applyNumberFormats="0" applyBorderFormats="0" applyFontFormats="0" applyPatternFormats="0" applyAlignmentFormats="0" applyWidthHeightFormats="1" dataCaption="Valeurs" updatedVersion="7" minRefreshableVersion="3" useAutoFormatting="1" subtotalHiddenItems="1" rowGrandTotals="0" itemPrintTitles="1" createdVersion="7" indent="0" outline="1" outlineData="1" multipleFieldFilters="0" chartFormat="4">
  <location ref="E8:F13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llDrilled="1" subtotalTop="0" showAll="0" dataSourceSort="1" defaultSubtotal="0" defaultAttributeDrillState="1"/>
  </pivotFields>
  <rowFields count="1">
    <field x="1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omme de Sale_amt" fld="0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9"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mple_salesperson_1.xlsx!Tableau1">
        <x15:activeTabTopLevelEntity name="[Tableau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Manager1" xr10:uid="{A87F77CE-499A-43AC-8DB2-03511A98FB6B}" sourceName="[Tableau1].[Manager]">
  <pivotTables>
    <pivotTable tabId="29" name="Tableau croisé dynamique4"/>
    <pivotTable tabId="29" name="Tableau croisé dynamique10"/>
    <pivotTable tabId="29" name="Tableau croisé dynamique11"/>
    <pivotTable tabId="29" name="Tableau croisé dynamique12"/>
    <pivotTable tabId="29" name="Tableau croisé dynamique13"/>
    <pivotTable tabId="29" name="Tableau croisé dynamique5"/>
    <pivotTable tabId="29" name="Tableau croisé dynamique7"/>
    <pivotTable tabId="29" name="Tableau croisé dynamique9"/>
    <pivotTable tabId="29" name="Tableau croisé dynamique6"/>
  </pivotTables>
  <data>
    <olap pivotCacheId="909490416">
      <levels count="2">
        <level uniqueName="[Tableau1].[Manager].[(All)]" sourceCaption="(All)" count="0"/>
        <level uniqueName="[Tableau1].[Manager].[Manager]" sourceCaption="Manager" count="4">
          <ranges>
            <range startItem="0">
              <i n="[Tableau1].[Manager].&amp;[Douglas]" c="Douglas"/>
              <i n="[Tableau1].[Manager].&amp;[Hermann]" c="Hermann"/>
              <i n="[Tableau1].[Manager].&amp;[Martha]" c="Martha"/>
              <i n="[Tableau1].[Manager].&amp;[Timothy]" c="Timothy"/>
            </range>
          </ranges>
        </level>
      </levels>
      <selections count="1">
        <selection n="[Tableau1].[Manager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Region1" xr10:uid="{D9179709-FE1D-4C1F-851B-AABDD1AC2DAD}" sourceName="[Tableau1].[Region]">
  <pivotTables>
    <pivotTable tabId="29" name="Tableau croisé dynamique4"/>
    <pivotTable tabId="29" name="Tableau croisé dynamique10"/>
    <pivotTable tabId="29" name="Tableau croisé dynamique11"/>
    <pivotTable tabId="29" name="Tableau croisé dynamique12"/>
    <pivotTable tabId="29" name="Tableau croisé dynamique13"/>
    <pivotTable tabId="29" name="Tableau croisé dynamique5"/>
    <pivotTable tabId="29" name="Tableau croisé dynamique7"/>
    <pivotTable tabId="29" name="Tableau croisé dynamique9"/>
    <pivotTable tabId="29" name="Tableau croisé dynamique6"/>
  </pivotTables>
  <data>
    <olap pivotCacheId="909490416">
      <levels count="2">
        <level uniqueName="[Tableau1].[Region].[(All)]" sourceCaption="(All)" count="0"/>
        <level uniqueName="[Tableau1].[Region].[Region]" sourceCaption="Region" count="3">
          <ranges>
            <range startItem="0">
              <i n="[Tableau1].[Region].&amp;[Central]" c="Central"/>
              <i n="[Tableau1].[Region].&amp;[East]" c="East"/>
              <i n="[Tableau1].[Region].&amp;[West]" c="West"/>
            </range>
          </ranges>
        </level>
      </levels>
      <selections count="1">
        <selection n="[Tableau1].[Region].[All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OrderDate__année" xr10:uid="{0ED641F8-50A8-445C-859F-690180ECDD21}" sourceName="[Tableau1].[OrderDate (année)]">
  <pivotTables>
    <pivotTable tabId="29" name="Tableau croisé dynamique4"/>
    <pivotTable tabId="29" name="Tableau croisé dynamique10"/>
    <pivotTable tabId="29" name="Tableau croisé dynamique11"/>
    <pivotTable tabId="29" name="Tableau croisé dynamique5"/>
    <pivotTable tabId="29" name="Tableau croisé dynamique7"/>
    <pivotTable tabId="29" name="Tableau croisé dynamique9"/>
    <pivotTable tabId="29" name="Tableau croisé dynamique13"/>
    <pivotTable tabId="29" name="Tableau croisé dynamique12"/>
  </pivotTables>
  <data>
    <olap pivotCacheId="909490416">
      <levels count="2">
        <level uniqueName="[Tableau1].[OrderDate (année)].[(All)]" sourceCaption="(All)" count="0"/>
        <level uniqueName="[Tableau1].[OrderDate (année)].[OrderDate (année)]" sourceCaption="OrderDate (année)" count="2">
          <ranges>
            <range startItem="0">
              <i n="[Tableau1].[OrderDate (année)].&amp;[2018]" c="2018"/>
              <i n="[Tableau1].[OrderDate (année)].&amp;[2019]" c="2019"/>
            </range>
          </ranges>
        </level>
      </levels>
      <selections count="1">
        <selection n="[Tableau1].[OrderDate (année)].[All]"/>
      </selections>
    </olap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OrderDate__mois" xr10:uid="{F2F49246-F690-460C-80C4-74E830D17CA7}" sourceName="[Tableau1].[OrderDate (mois)]">
  <pivotTables>
    <pivotTable tabId="29" name="Tableau croisé dynamique4"/>
    <pivotTable tabId="29" name="Tableau croisé dynamique10"/>
    <pivotTable tabId="29" name="Tableau croisé dynamique11"/>
    <pivotTable tabId="29" name="Tableau croisé dynamique12"/>
    <pivotTable tabId="29" name="Tableau croisé dynamique13"/>
    <pivotTable tabId="29" name="Tableau croisé dynamique5"/>
    <pivotTable tabId="29" name="Tableau croisé dynamique7"/>
    <pivotTable tabId="29" name="Tableau croisé dynamique9"/>
  </pivotTables>
  <data>
    <olap pivotCacheId="909490416">
      <levels count="2">
        <level uniqueName="[Tableau1].[OrderDate (mois)].[(All)]" sourceCaption="(All)" count="0"/>
        <level uniqueName="[Tableau1].[OrderDate (mois)].[OrderDate (mois)]" sourceCaption="OrderDate (mois)" count="12">
          <ranges>
            <range startItem="0">
              <i n="[Tableau1].[OrderDate (mois)].&amp;[Jan]" c="Jan"/>
              <i n="[Tableau1].[OrderDate (mois)].&amp;[Feb]" c="Feb"/>
              <i n="[Tableau1].[OrderDate (mois)].&amp;[Mar]" c="Mar"/>
              <i n="[Tableau1].[OrderDate (mois)].&amp;[Apr]" c="Apr"/>
              <i n="[Tableau1].[OrderDate (mois)].&amp;[May]" c="May"/>
              <i n="[Tableau1].[OrderDate (mois)].&amp;[Jun]" c="Jun"/>
              <i n="[Tableau1].[OrderDate (mois)].&amp;[Jul]" c="Jul"/>
              <i n="[Tableau1].[OrderDate (mois)].&amp;[Aug]" c="Aug"/>
              <i n="[Tableau1].[OrderDate (mois)].&amp;[Sep]" c="Sep"/>
              <i n="[Tableau1].[OrderDate (mois)].&amp;[Oct]" c="Oct"/>
              <i n="[Tableau1].[OrderDate (mois)].&amp;[Nov]" c="Nov"/>
              <i n="[Tableau1].[OrderDate (mois)].&amp;[Dec]" c="Dec"/>
            </range>
          </ranges>
        </level>
      </levels>
      <selections count="1">
        <selection n="[Tableau1].[OrderDate (mois)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anager 3" xr10:uid="{358DDA55-E25C-46A2-9B6D-1B81100E0C95}" cache="Segment_Manager1" caption="MANAGER" level="1" style="Style de segment 1" rowHeight="252000"/>
  <slicer name="Region 4" xr10:uid="{B000124E-DF01-4898-AFBF-7F707C1B68C0}" cache="Segment_Region1" caption="RÉGION" level="1" style="Style de segment 1" rowHeight="252000"/>
  <slicer name="OrderDate (année)" xr10:uid="{0F02FDE1-A512-4B44-BB1A-ED8ECE2F56F6}" cache="Segment_OrderDate__année" caption="ANNÉES" columnCount="2" level="1" style="Style de segment 1" rowHeight="252000"/>
  <slicer name="OrderDate (mois)" xr10:uid="{A55D271D-03C5-4791-B57E-8F2CF8F34D18}" cache="Segment_OrderDate__mois" caption="MOIS" columnCount="2" level="1" style="Style de segment 1" rowHeight="252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3A9E48-6027-4C0A-96E7-B2B4C0CF1352}" name="Tableau1" displayName="Tableau1" ref="A1:H44" totalsRowShown="0">
  <autoFilter ref="A1:H44" xr:uid="{0E3A9E48-6027-4C0A-96E7-B2B4C0CF1352}"/>
  <tableColumns count="8">
    <tableColumn id="1" xr3:uid="{21DE8176-4243-4FDB-8841-FEBB16FB9B8E}" name="OrderDate" dataDxfId="6"/>
    <tableColumn id="2" xr3:uid="{7377579E-FFD2-4DE9-9F40-3D468C74B1FA}" name="Region" dataDxfId="5"/>
    <tableColumn id="3" xr3:uid="{1B65CB62-D9B6-4A31-9B04-B22BFA6AF9FA}" name="Manager"/>
    <tableColumn id="4" xr3:uid="{00FE9059-8122-4AE4-94BD-22A2B531E815}" name="SalesMan" dataDxfId="4"/>
    <tableColumn id="5" xr3:uid="{7E55ED70-911A-4D19-BD0C-ACD43E8948F2}" name="Item" dataDxfId="3"/>
    <tableColumn id="6" xr3:uid="{F6A52A26-5862-4AAE-8B01-59BC4E2A3E95}" name="Units" dataDxfId="2"/>
    <tableColumn id="7" xr3:uid="{C5F42D26-6CE4-4B63-819E-D9B39DD6CAA0}" name="Unit_price" dataDxfId="1" dataCellStyle="Milliers"/>
    <tableColumn id="8" xr3:uid="{CA597B61-0A79-4C36-BDD1-087AEC220D67}" name="Sale_amt" dataDxfId="0">
      <calculatedColumnFormula>F2*G2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Bleu chaud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45334-31D5-488A-9096-E464CB44ECD2}">
  <dimension ref="A1:K44"/>
  <sheetViews>
    <sheetView workbookViewId="0">
      <selection activeCell="K12" sqref="K12"/>
    </sheetView>
  </sheetViews>
  <sheetFormatPr baseColWidth="10" defaultRowHeight="15" x14ac:dyDescent="0.25"/>
  <cols>
    <col min="1" max="1" width="13.7109375" style="13" customWidth="1"/>
    <col min="2" max="2" width="12.5703125" customWidth="1"/>
    <col min="3" max="3" width="13.42578125" customWidth="1"/>
    <col min="4" max="4" width="14.42578125" customWidth="1"/>
    <col min="5" max="5" width="16.7109375" customWidth="1"/>
    <col min="6" max="6" width="11.42578125" style="15" customWidth="1"/>
    <col min="7" max="7" width="12.140625" style="18" customWidth="1"/>
    <col min="8" max="8" width="15" style="18" customWidth="1"/>
  </cols>
  <sheetData>
    <row r="1" spans="1:11" ht="15.75" thickBot="1" x14ac:dyDescent="0.3">
      <c r="A1" s="13" t="s">
        <v>4</v>
      </c>
      <c r="B1" t="s">
        <v>0</v>
      </c>
      <c r="C1" t="s">
        <v>25</v>
      </c>
      <c r="D1" t="s">
        <v>8</v>
      </c>
      <c r="E1" t="s">
        <v>1</v>
      </c>
      <c r="F1" s="15" t="s">
        <v>2</v>
      </c>
      <c r="G1" s="17" t="s">
        <v>12</v>
      </c>
      <c r="H1" s="18" t="s">
        <v>30</v>
      </c>
    </row>
    <row r="2" spans="1:11" ht="15.75" thickBot="1" x14ac:dyDescent="0.3">
      <c r="A2" s="14">
        <v>43106</v>
      </c>
      <c r="B2" s="1" t="s">
        <v>7</v>
      </c>
      <c r="C2" s="5" t="s">
        <v>26</v>
      </c>
      <c r="D2" s="3" t="s">
        <v>18</v>
      </c>
      <c r="E2" s="2" t="s">
        <v>9</v>
      </c>
      <c r="F2" s="16">
        <v>95</v>
      </c>
      <c r="G2" s="17">
        <v>1198</v>
      </c>
      <c r="H2" s="18">
        <f>F2*G2</f>
        <v>113810</v>
      </c>
    </row>
    <row r="3" spans="1:11" ht="15.75" thickBot="1" x14ac:dyDescent="0.3">
      <c r="A3" s="14">
        <v>43123</v>
      </c>
      <c r="B3" s="1" t="s">
        <v>5</v>
      </c>
      <c r="C3" s="5" t="s">
        <v>29</v>
      </c>
      <c r="D3" s="3" t="s">
        <v>19</v>
      </c>
      <c r="E3" s="2" t="s">
        <v>13</v>
      </c>
      <c r="F3" s="16">
        <v>50</v>
      </c>
      <c r="G3" s="17">
        <v>500</v>
      </c>
      <c r="H3" s="18">
        <f t="shared" ref="H3:H44" si="0">F3*G3</f>
        <v>25000</v>
      </c>
    </row>
    <row r="4" spans="1:11" ht="15.75" thickBot="1" x14ac:dyDescent="0.3">
      <c r="A4" s="14">
        <v>43140</v>
      </c>
      <c r="B4" s="1" t="s">
        <v>5</v>
      </c>
      <c r="C4" s="5" t="s">
        <v>29</v>
      </c>
      <c r="D4" s="3" t="s">
        <v>17</v>
      </c>
      <c r="E4" s="2" t="s">
        <v>9</v>
      </c>
      <c r="F4" s="16">
        <v>36</v>
      </c>
      <c r="G4" s="17">
        <v>1198</v>
      </c>
      <c r="H4" s="18">
        <f t="shared" si="0"/>
        <v>43128</v>
      </c>
    </row>
    <row r="5" spans="1:11" ht="15.75" thickBot="1" x14ac:dyDescent="0.3">
      <c r="A5" s="14">
        <v>43157</v>
      </c>
      <c r="B5" s="1" t="s">
        <v>5</v>
      </c>
      <c r="C5" s="5" t="s">
        <v>27</v>
      </c>
      <c r="D5" s="3" t="s">
        <v>15</v>
      </c>
      <c r="E5" s="2" t="s">
        <v>10</v>
      </c>
      <c r="F5" s="16">
        <v>27</v>
      </c>
      <c r="G5" s="17">
        <v>225</v>
      </c>
      <c r="H5" s="18">
        <f t="shared" si="0"/>
        <v>6075</v>
      </c>
    </row>
    <row r="6" spans="1:11" ht="15.75" thickBot="1" x14ac:dyDescent="0.3">
      <c r="A6" s="14">
        <v>43174</v>
      </c>
      <c r="B6" s="1" t="s">
        <v>6</v>
      </c>
      <c r="C6" s="5" t="s">
        <v>27</v>
      </c>
      <c r="D6" s="3" t="s">
        <v>23</v>
      </c>
      <c r="E6" s="2" t="s">
        <v>9</v>
      </c>
      <c r="F6" s="16">
        <v>56</v>
      </c>
      <c r="G6" s="17">
        <v>1198</v>
      </c>
      <c r="H6" s="18">
        <f t="shared" si="0"/>
        <v>67088</v>
      </c>
      <c r="J6" s="15"/>
    </row>
    <row r="7" spans="1:11" ht="15.75" thickBot="1" x14ac:dyDescent="0.3">
      <c r="A7" s="14">
        <v>43191</v>
      </c>
      <c r="B7" s="1" t="s">
        <v>7</v>
      </c>
      <c r="C7" s="5" t="s">
        <v>26</v>
      </c>
      <c r="D7" s="3" t="s">
        <v>18</v>
      </c>
      <c r="E7" s="2" t="s">
        <v>13</v>
      </c>
      <c r="F7" s="16">
        <v>60</v>
      </c>
      <c r="G7" s="17">
        <v>500</v>
      </c>
      <c r="H7" s="18">
        <f t="shared" si="0"/>
        <v>30000</v>
      </c>
    </row>
    <row r="8" spans="1:11" ht="15.75" thickBot="1" x14ac:dyDescent="0.3">
      <c r="A8" s="14">
        <v>43208</v>
      </c>
      <c r="B8" s="1" t="s">
        <v>5</v>
      </c>
      <c r="C8" s="4" t="s">
        <v>26</v>
      </c>
      <c r="D8" s="3" t="s">
        <v>14</v>
      </c>
      <c r="E8" s="2" t="s">
        <v>9</v>
      </c>
      <c r="F8" s="16">
        <v>75</v>
      </c>
      <c r="G8" s="17">
        <v>1198</v>
      </c>
      <c r="H8" s="18">
        <f t="shared" si="0"/>
        <v>89850</v>
      </c>
    </row>
    <row r="9" spans="1:11" ht="15.75" thickBot="1" x14ac:dyDescent="0.3">
      <c r="A9" s="14">
        <v>43225</v>
      </c>
      <c r="B9" s="1" t="s">
        <v>5</v>
      </c>
      <c r="C9" s="5" t="s">
        <v>29</v>
      </c>
      <c r="D9" s="3" t="s">
        <v>17</v>
      </c>
      <c r="E9" s="2" t="s">
        <v>9</v>
      </c>
      <c r="F9" s="16">
        <v>90</v>
      </c>
      <c r="G9" s="17">
        <v>1198</v>
      </c>
      <c r="H9" s="18">
        <f t="shared" si="0"/>
        <v>107820</v>
      </c>
    </row>
    <row r="10" spans="1:11" ht="15.75" thickBot="1" x14ac:dyDescent="0.3">
      <c r="A10" s="14">
        <v>43242</v>
      </c>
      <c r="B10" s="1" t="s">
        <v>6</v>
      </c>
      <c r="C10" s="7" t="s">
        <v>28</v>
      </c>
      <c r="D10" s="3" t="s">
        <v>24</v>
      </c>
      <c r="E10" s="2" t="s">
        <v>9</v>
      </c>
      <c r="F10" s="16">
        <v>32</v>
      </c>
      <c r="G10" s="17">
        <v>1198</v>
      </c>
      <c r="H10" s="18">
        <f t="shared" si="0"/>
        <v>38336</v>
      </c>
    </row>
    <row r="11" spans="1:11" ht="15.75" thickBot="1" x14ac:dyDescent="0.3">
      <c r="A11" s="14">
        <v>43259</v>
      </c>
      <c r="B11" s="1" t="s">
        <v>7</v>
      </c>
      <c r="C11" s="5" t="s">
        <v>26</v>
      </c>
      <c r="D11" s="3" t="s">
        <v>18</v>
      </c>
      <c r="E11" s="2" t="s">
        <v>13</v>
      </c>
      <c r="F11" s="16">
        <v>60</v>
      </c>
      <c r="G11" s="17">
        <v>500</v>
      </c>
      <c r="H11" s="18">
        <f t="shared" si="0"/>
        <v>30000</v>
      </c>
      <c r="K11" s="15"/>
    </row>
    <row r="12" spans="1:11" ht="15.75" thickBot="1" x14ac:dyDescent="0.3">
      <c r="A12" s="14">
        <v>43276</v>
      </c>
      <c r="B12" s="1" t="s">
        <v>5</v>
      </c>
      <c r="C12" s="5" t="s">
        <v>29</v>
      </c>
      <c r="D12" s="3" t="s">
        <v>20</v>
      </c>
      <c r="E12" s="2" t="s">
        <v>9</v>
      </c>
      <c r="F12" s="16">
        <v>90</v>
      </c>
      <c r="G12" s="17">
        <v>1198</v>
      </c>
      <c r="H12" s="18">
        <f t="shared" si="0"/>
        <v>107820</v>
      </c>
    </row>
    <row r="13" spans="1:11" ht="15.75" thickBot="1" x14ac:dyDescent="0.3">
      <c r="A13" s="14">
        <v>43293</v>
      </c>
      <c r="B13" s="1" t="s">
        <v>7</v>
      </c>
      <c r="C13" s="4" t="s">
        <v>26</v>
      </c>
      <c r="D13" s="3" t="s">
        <v>16</v>
      </c>
      <c r="E13" s="2" t="s">
        <v>13</v>
      </c>
      <c r="F13" s="16">
        <v>29</v>
      </c>
      <c r="G13" s="17">
        <v>500</v>
      </c>
      <c r="H13" s="18">
        <f t="shared" si="0"/>
        <v>14500</v>
      </c>
    </row>
    <row r="14" spans="1:11" ht="15.75" thickBot="1" x14ac:dyDescent="0.3">
      <c r="A14" s="14">
        <v>43310</v>
      </c>
      <c r="B14" s="1" t="s">
        <v>7</v>
      </c>
      <c r="C14" s="7" t="s">
        <v>28</v>
      </c>
      <c r="D14" s="3" t="s">
        <v>21</v>
      </c>
      <c r="E14" s="2" t="s">
        <v>13</v>
      </c>
      <c r="F14" s="16">
        <v>81</v>
      </c>
      <c r="G14" s="17">
        <v>500</v>
      </c>
      <c r="H14" s="18">
        <f t="shared" si="0"/>
        <v>40500</v>
      </c>
    </row>
    <row r="15" spans="1:11" ht="15.75" thickBot="1" x14ac:dyDescent="0.3">
      <c r="A15" s="14">
        <v>43327</v>
      </c>
      <c r="B15" s="1" t="s">
        <v>7</v>
      </c>
      <c r="C15" s="5" t="s">
        <v>26</v>
      </c>
      <c r="D15" s="3" t="s">
        <v>18</v>
      </c>
      <c r="E15" s="2" t="s">
        <v>9</v>
      </c>
      <c r="F15" s="16">
        <v>35</v>
      </c>
      <c r="G15" s="17">
        <v>1198</v>
      </c>
      <c r="H15" s="18">
        <f t="shared" si="0"/>
        <v>41930</v>
      </c>
    </row>
    <row r="16" spans="1:11" ht="15.75" thickBot="1" x14ac:dyDescent="0.3">
      <c r="A16" s="14">
        <v>43344</v>
      </c>
      <c r="B16" s="1" t="s">
        <v>5</v>
      </c>
      <c r="C16" s="7" t="s">
        <v>28</v>
      </c>
      <c r="D16" s="3" t="s">
        <v>22</v>
      </c>
      <c r="E16" s="2" t="s">
        <v>3</v>
      </c>
      <c r="F16" s="16">
        <v>2</v>
      </c>
      <c r="G16" s="17">
        <v>125</v>
      </c>
      <c r="H16" s="18">
        <f t="shared" si="0"/>
        <v>250</v>
      </c>
    </row>
    <row r="17" spans="1:8" ht="15.75" thickBot="1" x14ac:dyDescent="0.3">
      <c r="A17" s="14">
        <v>43361</v>
      </c>
      <c r="B17" s="1" t="s">
        <v>7</v>
      </c>
      <c r="C17" s="8" t="s">
        <v>26</v>
      </c>
      <c r="D17" s="3" t="s">
        <v>18</v>
      </c>
      <c r="E17" s="2" t="s">
        <v>11</v>
      </c>
      <c r="F17" s="16">
        <v>16</v>
      </c>
      <c r="G17" s="17">
        <v>58.5</v>
      </c>
      <c r="H17" s="18">
        <f t="shared" si="0"/>
        <v>936</v>
      </c>
    </row>
    <row r="18" spans="1:8" ht="15.75" thickBot="1" x14ac:dyDescent="0.3">
      <c r="A18" s="14">
        <v>43378</v>
      </c>
      <c r="B18" s="1" t="s">
        <v>5</v>
      </c>
      <c r="C18" s="8" t="s">
        <v>29</v>
      </c>
      <c r="D18" s="3" t="s">
        <v>20</v>
      </c>
      <c r="E18" s="2" t="s">
        <v>13</v>
      </c>
      <c r="F18" s="16">
        <v>28</v>
      </c>
      <c r="G18" s="17">
        <v>500</v>
      </c>
      <c r="H18" s="18">
        <f t="shared" si="0"/>
        <v>14000</v>
      </c>
    </row>
    <row r="19" spans="1:8" ht="15.75" thickBot="1" x14ac:dyDescent="0.3">
      <c r="A19" s="14">
        <v>43395</v>
      </c>
      <c r="B19" s="1" t="s">
        <v>7</v>
      </c>
      <c r="C19" s="8" t="s">
        <v>26</v>
      </c>
      <c r="D19" s="3" t="s">
        <v>18</v>
      </c>
      <c r="E19" s="2" t="s">
        <v>10</v>
      </c>
      <c r="F19" s="16">
        <v>64</v>
      </c>
      <c r="G19" s="17">
        <v>225</v>
      </c>
      <c r="H19" s="18">
        <f t="shared" si="0"/>
        <v>14400</v>
      </c>
    </row>
    <row r="20" spans="1:8" ht="15.75" thickBot="1" x14ac:dyDescent="0.3">
      <c r="A20" s="14">
        <v>43412</v>
      </c>
      <c r="B20" s="1" t="s">
        <v>7</v>
      </c>
      <c r="C20" s="6" t="s">
        <v>28</v>
      </c>
      <c r="D20" s="3" t="s">
        <v>21</v>
      </c>
      <c r="E20" s="2" t="s">
        <v>10</v>
      </c>
      <c r="F20" s="16">
        <v>15</v>
      </c>
      <c r="G20" s="17">
        <v>225</v>
      </c>
      <c r="H20" s="18">
        <f t="shared" si="0"/>
        <v>3375</v>
      </c>
    </row>
    <row r="21" spans="1:8" ht="15.75" thickBot="1" x14ac:dyDescent="0.3">
      <c r="A21" s="14">
        <v>43429</v>
      </c>
      <c r="B21" s="1" t="s">
        <v>5</v>
      </c>
      <c r="C21" s="8" t="s">
        <v>29</v>
      </c>
      <c r="D21" s="3" t="s">
        <v>19</v>
      </c>
      <c r="E21" s="2" t="s">
        <v>11</v>
      </c>
      <c r="F21" s="16">
        <v>96</v>
      </c>
      <c r="G21" s="17">
        <v>58.5</v>
      </c>
      <c r="H21" s="18">
        <f t="shared" si="0"/>
        <v>5616</v>
      </c>
    </row>
    <row r="22" spans="1:8" ht="15.75" thickBot="1" x14ac:dyDescent="0.3">
      <c r="A22" s="14">
        <v>43446</v>
      </c>
      <c r="B22" s="1" t="s">
        <v>5</v>
      </c>
      <c r="C22" s="6" t="s">
        <v>28</v>
      </c>
      <c r="D22" s="3" t="s">
        <v>22</v>
      </c>
      <c r="E22" s="2" t="s">
        <v>9</v>
      </c>
      <c r="F22" s="16">
        <v>67</v>
      </c>
      <c r="G22" s="17">
        <v>1198</v>
      </c>
      <c r="H22" s="18">
        <f t="shared" si="0"/>
        <v>80266</v>
      </c>
    </row>
    <row r="23" spans="1:8" ht="15.75" thickBot="1" x14ac:dyDescent="0.3">
      <c r="A23" s="14">
        <v>43463</v>
      </c>
      <c r="B23" s="1" t="s">
        <v>7</v>
      </c>
      <c r="C23" s="7" t="s">
        <v>28</v>
      </c>
      <c r="D23" s="3" t="s">
        <v>21</v>
      </c>
      <c r="E23" s="2" t="s">
        <v>11</v>
      </c>
      <c r="F23" s="16">
        <v>74</v>
      </c>
      <c r="G23" s="17">
        <v>58.5</v>
      </c>
      <c r="H23" s="18">
        <f t="shared" si="0"/>
        <v>4329</v>
      </c>
    </row>
    <row r="24" spans="1:8" ht="15.75" thickBot="1" x14ac:dyDescent="0.3">
      <c r="A24" s="14">
        <v>43480</v>
      </c>
      <c r="B24" s="1" t="s">
        <v>5</v>
      </c>
      <c r="C24" s="5" t="s">
        <v>27</v>
      </c>
      <c r="D24" s="3" t="s">
        <v>15</v>
      </c>
      <c r="E24" s="2" t="s">
        <v>13</v>
      </c>
      <c r="F24" s="16">
        <v>46</v>
      </c>
      <c r="G24" s="17">
        <v>500</v>
      </c>
      <c r="H24" s="18">
        <f t="shared" si="0"/>
        <v>23000</v>
      </c>
    </row>
    <row r="25" spans="1:8" ht="15.75" thickBot="1" x14ac:dyDescent="0.3">
      <c r="A25" s="14">
        <v>43497</v>
      </c>
      <c r="B25" s="1" t="s">
        <v>5</v>
      </c>
      <c r="C25" s="7" t="s">
        <v>28</v>
      </c>
      <c r="D25" s="3" t="s">
        <v>22</v>
      </c>
      <c r="E25" s="2" t="s">
        <v>13</v>
      </c>
      <c r="F25" s="16">
        <v>87</v>
      </c>
      <c r="G25" s="17">
        <v>500</v>
      </c>
      <c r="H25" s="18">
        <f t="shared" si="0"/>
        <v>43500</v>
      </c>
    </row>
    <row r="26" spans="1:8" ht="15.75" thickBot="1" x14ac:dyDescent="0.3">
      <c r="A26" s="14">
        <v>43514</v>
      </c>
      <c r="B26" s="1" t="s">
        <v>7</v>
      </c>
      <c r="C26" s="4" t="s">
        <v>26</v>
      </c>
      <c r="D26" s="3" t="s">
        <v>18</v>
      </c>
      <c r="E26" s="2" t="s">
        <v>13</v>
      </c>
      <c r="F26" s="16">
        <v>4</v>
      </c>
      <c r="G26" s="17">
        <v>500</v>
      </c>
      <c r="H26" s="18">
        <f t="shared" si="0"/>
        <v>2000</v>
      </c>
    </row>
    <row r="27" spans="1:8" ht="15.75" thickBot="1" x14ac:dyDescent="0.3">
      <c r="A27" s="14">
        <v>43531</v>
      </c>
      <c r="B27" s="1" t="s">
        <v>6</v>
      </c>
      <c r="C27" s="5" t="s">
        <v>27</v>
      </c>
      <c r="D27" s="3" t="s">
        <v>23</v>
      </c>
      <c r="E27" s="2" t="s">
        <v>13</v>
      </c>
      <c r="F27" s="16">
        <v>7</v>
      </c>
      <c r="G27" s="17">
        <v>500</v>
      </c>
      <c r="H27" s="18">
        <f t="shared" si="0"/>
        <v>3500</v>
      </c>
    </row>
    <row r="28" spans="1:8" ht="15.75" thickBot="1" x14ac:dyDescent="0.3">
      <c r="A28" s="14">
        <v>43548</v>
      </c>
      <c r="B28" s="1" t="s">
        <v>5</v>
      </c>
      <c r="C28" s="8" t="s">
        <v>29</v>
      </c>
      <c r="D28" s="3" t="s">
        <v>17</v>
      </c>
      <c r="E28" s="2" t="s">
        <v>11</v>
      </c>
      <c r="F28" s="16">
        <v>50</v>
      </c>
      <c r="G28" s="17">
        <v>58.5</v>
      </c>
      <c r="H28" s="18">
        <f t="shared" si="0"/>
        <v>2925</v>
      </c>
    </row>
    <row r="29" spans="1:8" ht="15.75" thickBot="1" x14ac:dyDescent="0.3">
      <c r="A29" s="14">
        <v>43565</v>
      </c>
      <c r="B29" s="1" t="s">
        <v>5</v>
      </c>
      <c r="C29" s="9" t="s">
        <v>26</v>
      </c>
      <c r="D29" s="3" t="s">
        <v>14</v>
      </c>
      <c r="E29" s="2" t="s">
        <v>9</v>
      </c>
      <c r="F29" s="16">
        <v>66</v>
      </c>
      <c r="G29" s="17">
        <v>1198</v>
      </c>
      <c r="H29" s="18">
        <f t="shared" si="0"/>
        <v>79068</v>
      </c>
    </row>
    <row r="30" spans="1:8" ht="15.75" thickBot="1" x14ac:dyDescent="0.3">
      <c r="A30" s="14">
        <v>43582</v>
      </c>
      <c r="B30" s="1" t="s">
        <v>7</v>
      </c>
      <c r="C30" s="4" t="s">
        <v>26</v>
      </c>
      <c r="D30" s="3" t="s">
        <v>16</v>
      </c>
      <c r="E30" s="2" t="s">
        <v>10</v>
      </c>
      <c r="F30" s="16">
        <v>96</v>
      </c>
      <c r="G30" s="17">
        <v>225</v>
      </c>
      <c r="H30" s="18">
        <f t="shared" si="0"/>
        <v>21600</v>
      </c>
    </row>
    <row r="31" spans="1:8" ht="15.75" thickBot="1" x14ac:dyDescent="0.3">
      <c r="A31" s="14">
        <v>43599</v>
      </c>
      <c r="B31" s="1" t="s">
        <v>5</v>
      </c>
      <c r="C31" s="5" t="s">
        <v>27</v>
      </c>
      <c r="D31" s="3" t="s">
        <v>15</v>
      </c>
      <c r="E31" s="2" t="s">
        <v>9</v>
      </c>
      <c r="F31" s="16">
        <v>53</v>
      </c>
      <c r="G31" s="17">
        <v>1198</v>
      </c>
      <c r="H31" s="18">
        <f t="shared" si="0"/>
        <v>63494</v>
      </c>
    </row>
    <row r="32" spans="1:8" ht="15.75" thickBot="1" x14ac:dyDescent="0.3">
      <c r="A32" s="14">
        <v>43616</v>
      </c>
      <c r="B32" s="1" t="s">
        <v>5</v>
      </c>
      <c r="C32" s="5" t="s">
        <v>27</v>
      </c>
      <c r="D32" s="3" t="s">
        <v>15</v>
      </c>
      <c r="E32" s="2" t="s">
        <v>13</v>
      </c>
      <c r="F32" s="16">
        <v>80</v>
      </c>
      <c r="G32" s="17">
        <v>500</v>
      </c>
      <c r="H32" s="18">
        <f t="shared" si="0"/>
        <v>40000</v>
      </c>
    </row>
    <row r="33" spans="1:8" ht="15.75" thickBot="1" x14ac:dyDescent="0.3">
      <c r="A33" s="14">
        <v>43633</v>
      </c>
      <c r="B33" s="1" t="s">
        <v>5</v>
      </c>
      <c r="C33" s="5" t="s">
        <v>29</v>
      </c>
      <c r="D33" s="3" t="s">
        <v>19</v>
      </c>
      <c r="E33" s="2" t="s">
        <v>3</v>
      </c>
      <c r="F33" s="16">
        <v>5</v>
      </c>
      <c r="G33" s="17">
        <v>125</v>
      </c>
      <c r="H33" s="18">
        <f t="shared" si="0"/>
        <v>625</v>
      </c>
    </row>
    <row r="34" spans="1:8" ht="15.75" thickBot="1" x14ac:dyDescent="0.3">
      <c r="A34" s="14">
        <v>43650</v>
      </c>
      <c r="B34" s="1" t="s">
        <v>7</v>
      </c>
      <c r="C34" s="4" t="s">
        <v>26</v>
      </c>
      <c r="D34" s="3" t="s">
        <v>18</v>
      </c>
      <c r="E34" s="2" t="s">
        <v>11</v>
      </c>
      <c r="F34" s="16">
        <v>62</v>
      </c>
      <c r="G34" s="17">
        <v>58.5</v>
      </c>
      <c r="H34" s="18">
        <f t="shared" si="0"/>
        <v>3627</v>
      </c>
    </row>
    <row r="35" spans="1:8" ht="15.75" thickBot="1" x14ac:dyDescent="0.3">
      <c r="A35" s="14">
        <v>43667</v>
      </c>
      <c r="B35" s="1" t="s">
        <v>5</v>
      </c>
      <c r="C35" s="5" t="s">
        <v>29</v>
      </c>
      <c r="D35" s="3" t="s">
        <v>20</v>
      </c>
      <c r="E35" s="2" t="s">
        <v>11</v>
      </c>
      <c r="F35" s="16">
        <v>55</v>
      </c>
      <c r="G35" s="17">
        <v>58.5</v>
      </c>
      <c r="H35" s="18">
        <f t="shared" si="0"/>
        <v>3217.5</v>
      </c>
    </row>
    <row r="36" spans="1:8" ht="15.75" thickBot="1" x14ac:dyDescent="0.3">
      <c r="A36" s="14">
        <v>43684</v>
      </c>
      <c r="B36" s="1" t="s">
        <v>5</v>
      </c>
      <c r="C36" s="5" t="s">
        <v>29</v>
      </c>
      <c r="D36" s="3" t="s">
        <v>19</v>
      </c>
      <c r="E36" s="2" t="s">
        <v>11</v>
      </c>
      <c r="F36" s="16">
        <v>42</v>
      </c>
      <c r="G36" s="17">
        <v>58.5</v>
      </c>
      <c r="H36" s="18">
        <f t="shared" si="0"/>
        <v>2457</v>
      </c>
    </row>
    <row r="37" spans="1:8" ht="15.75" thickBot="1" x14ac:dyDescent="0.3">
      <c r="A37" s="14">
        <v>43701</v>
      </c>
      <c r="B37" s="1" t="s">
        <v>6</v>
      </c>
      <c r="C37" s="5" t="s">
        <v>27</v>
      </c>
      <c r="D37" s="3" t="s">
        <v>23</v>
      </c>
      <c r="E37" s="2" t="s">
        <v>3</v>
      </c>
      <c r="F37" s="16">
        <v>3</v>
      </c>
      <c r="G37" s="17">
        <v>125</v>
      </c>
      <c r="H37" s="18">
        <f t="shared" si="0"/>
        <v>375</v>
      </c>
    </row>
    <row r="38" spans="1:8" ht="15.75" thickBot="1" x14ac:dyDescent="0.3">
      <c r="A38" s="14">
        <v>43718</v>
      </c>
      <c r="B38" s="1" t="s">
        <v>5</v>
      </c>
      <c r="C38" s="5" t="s">
        <v>27</v>
      </c>
      <c r="D38" s="3" t="s">
        <v>15</v>
      </c>
      <c r="E38" s="2" t="s">
        <v>9</v>
      </c>
      <c r="F38" s="16">
        <v>7</v>
      </c>
      <c r="G38" s="17">
        <v>1198</v>
      </c>
      <c r="H38" s="18">
        <f t="shared" si="0"/>
        <v>8386</v>
      </c>
    </row>
    <row r="39" spans="1:8" ht="15.75" thickBot="1" x14ac:dyDescent="0.3">
      <c r="A39" s="14">
        <v>43735</v>
      </c>
      <c r="B39" s="1" t="s">
        <v>6</v>
      </c>
      <c r="C39" s="5" t="s">
        <v>27</v>
      </c>
      <c r="D39" s="3" t="s">
        <v>23</v>
      </c>
      <c r="E39" s="2" t="s">
        <v>10</v>
      </c>
      <c r="F39" s="16">
        <v>76</v>
      </c>
      <c r="G39" s="17">
        <v>225</v>
      </c>
      <c r="H39" s="18">
        <f t="shared" si="0"/>
        <v>17100</v>
      </c>
    </row>
    <row r="40" spans="1:8" ht="15.75" thickBot="1" x14ac:dyDescent="0.3">
      <c r="A40" s="14">
        <v>43752</v>
      </c>
      <c r="B40" s="1" t="s">
        <v>6</v>
      </c>
      <c r="C40" s="7" t="s">
        <v>28</v>
      </c>
      <c r="D40" s="3" t="s">
        <v>24</v>
      </c>
      <c r="E40" s="2" t="s">
        <v>13</v>
      </c>
      <c r="F40" s="16">
        <v>57</v>
      </c>
      <c r="G40" s="17">
        <v>500</v>
      </c>
      <c r="H40" s="18">
        <f t="shared" si="0"/>
        <v>28500</v>
      </c>
    </row>
    <row r="41" spans="1:8" ht="15.75" thickBot="1" x14ac:dyDescent="0.3">
      <c r="A41" s="14">
        <v>43769</v>
      </c>
      <c r="B41" s="1" t="s">
        <v>5</v>
      </c>
      <c r="C41" s="4" t="s">
        <v>26</v>
      </c>
      <c r="D41" s="3" t="s">
        <v>14</v>
      </c>
      <c r="E41" s="2" t="s">
        <v>9</v>
      </c>
      <c r="F41" s="16">
        <v>14</v>
      </c>
      <c r="G41" s="17">
        <v>1198</v>
      </c>
      <c r="H41" s="18">
        <f t="shared" si="0"/>
        <v>16772</v>
      </c>
    </row>
    <row r="42" spans="1:8" ht="15.75" thickBot="1" x14ac:dyDescent="0.3">
      <c r="A42" s="14">
        <v>43786</v>
      </c>
      <c r="B42" s="1" t="s">
        <v>5</v>
      </c>
      <c r="C42" s="5" t="s">
        <v>29</v>
      </c>
      <c r="D42" s="3" t="s">
        <v>17</v>
      </c>
      <c r="E42" s="2" t="s">
        <v>13</v>
      </c>
      <c r="F42" s="16">
        <v>11</v>
      </c>
      <c r="G42" s="17">
        <v>500</v>
      </c>
      <c r="H42" s="18">
        <f t="shared" si="0"/>
        <v>5500</v>
      </c>
    </row>
    <row r="43" spans="1:8" ht="15.75" thickBot="1" x14ac:dyDescent="0.3">
      <c r="A43" s="14">
        <v>43803</v>
      </c>
      <c r="B43" s="1" t="s">
        <v>5</v>
      </c>
      <c r="C43" s="5" t="s">
        <v>29</v>
      </c>
      <c r="D43" s="3" t="s">
        <v>17</v>
      </c>
      <c r="E43" s="2" t="s">
        <v>13</v>
      </c>
      <c r="F43" s="16">
        <v>94</v>
      </c>
      <c r="G43" s="17">
        <v>500</v>
      </c>
      <c r="H43" s="18">
        <f t="shared" si="0"/>
        <v>47000</v>
      </c>
    </row>
    <row r="44" spans="1:8" ht="15.75" thickBot="1" x14ac:dyDescent="0.3">
      <c r="A44" s="14">
        <v>43820</v>
      </c>
      <c r="B44" s="1" t="s">
        <v>5</v>
      </c>
      <c r="C44" s="4" t="s">
        <v>26</v>
      </c>
      <c r="D44" s="3" t="s">
        <v>14</v>
      </c>
      <c r="E44" s="2" t="s">
        <v>13</v>
      </c>
      <c r="F44" s="16">
        <v>28</v>
      </c>
      <c r="G44" s="17">
        <v>500</v>
      </c>
      <c r="H44" s="18">
        <f t="shared" si="0"/>
        <v>14000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B3F7E-3E9B-4990-AC85-931E5B939EC7}">
  <dimension ref="A2:K36"/>
  <sheetViews>
    <sheetView zoomScale="80" zoomScaleNormal="80" workbookViewId="0">
      <selection activeCell="CL11" sqref="CL11"/>
    </sheetView>
  </sheetViews>
  <sheetFormatPr baseColWidth="10" defaultRowHeight="15" x14ac:dyDescent="0.25"/>
  <cols>
    <col min="1" max="1" width="21.5703125" bestFit="1" customWidth="1"/>
    <col min="2" max="2" width="19.85546875" bestFit="1" customWidth="1"/>
    <col min="3" max="3" width="9.85546875" bestFit="1" customWidth="1"/>
    <col min="4" max="4" width="12.85546875" bestFit="1" customWidth="1"/>
    <col min="5" max="5" width="21.5703125" bestFit="1" customWidth="1"/>
    <col min="6" max="6" width="19.85546875" bestFit="1" customWidth="1"/>
    <col min="7" max="7" width="14.85546875" customWidth="1"/>
    <col min="8" max="8" width="21.5703125" bestFit="1" customWidth="1"/>
    <col min="9" max="10" width="15.85546875" bestFit="1" customWidth="1"/>
    <col min="11" max="11" width="24.85546875" bestFit="1" customWidth="1"/>
    <col min="12" max="24" width="23.85546875" bestFit="1" customWidth="1"/>
    <col min="25" max="25" width="12.5703125" bestFit="1" customWidth="1"/>
    <col min="26" max="43" width="23.85546875" bestFit="1" customWidth="1"/>
    <col min="44" max="44" width="12.5703125" bestFit="1" customWidth="1"/>
  </cols>
  <sheetData>
    <row r="2" spans="1:11" x14ac:dyDescent="0.25">
      <c r="A2" s="10" t="s">
        <v>31</v>
      </c>
      <c r="B2" t="s">
        <v>33</v>
      </c>
      <c r="E2" s="10" t="s">
        <v>31</v>
      </c>
      <c r="F2" t="s">
        <v>33</v>
      </c>
      <c r="H2" s="10" t="s">
        <v>31</v>
      </c>
      <c r="I2" t="s">
        <v>34</v>
      </c>
    </row>
    <row r="3" spans="1:11" x14ac:dyDescent="0.25">
      <c r="A3" s="11" t="s">
        <v>35</v>
      </c>
      <c r="B3" s="12">
        <v>879029</v>
      </c>
      <c r="E3" s="11" t="s">
        <v>5</v>
      </c>
      <c r="F3" s="12">
        <v>829769.5</v>
      </c>
      <c r="H3" s="11" t="s">
        <v>10</v>
      </c>
      <c r="I3" s="12">
        <v>278</v>
      </c>
    </row>
    <row r="4" spans="1:11" x14ac:dyDescent="0.25">
      <c r="A4" s="11" t="s">
        <v>36</v>
      </c>
      <c r="B4" s="12">
        <v>426646.5</v>
      </c>
      <c r="E4" s="11" t="s">
        <v>7</v>
      </c>
      <c r="F4" s="12">
        <v>321007</v>
      </c>
      <c r="H4" s="11" t="s">
        <v>3</v>
      </c>
      <c r="I4" s="12">
        <v>10</v>
      </c>
    </row>
    <row r="5" spans="1:11" x14ac:dyDescent="0.25">
      <c r="E5" s="11" t="s">
        <v>6</v>
      </c>
      <c r="F5" s="12">
        <v>154899</v>
      </c>
      <c r="H5" s="11" t="s">
        <v>13</v>
      </c>
      <c r="I5" s="12">
        <v>722</v>
      </c>
    </row>
    <row r="6" spans="1:11" x14ac:dyDescent="0.25">
      <c r="H6" s="11" t="s">
        <v>9</v>
      </c>
      <c r="I6" s="12">
        <v>716</v>
      </c>
    </row>
    <row r="7" spans="1:11" x14ac:dyDescent="0.25">
      <c r="A7" s="10" t="s">
        <v>31</v>
      </c>
      <c r="B7" t="s">
        <v>33</v>
      </c>
      <c r="H7" s="11" t="s">
        <v>11</v>
      </c>
      <c r="I7" s="12">
        <v>395</v>
      </c>
    </row>
    <row r="8" spans="1:11" x14ac:dyDescent="0.25">
      <c r="A8" s="11" t="s">
        <v>44</v>
      </c>
      <c r="B8" s="12">
        <v>161810</v>
      </c>
      <c r="E8" s="10" t="s">
        <v>31</v>
      </c>
      <c r="F8" t="s">
        <v>33</v>
      </c>
    </row>
    <row r="9" spans="1:11" x14ac:dyDescent="0.25">
      <c r="A9" s="11" t="s">
        <v>45</v>
      </c>
      <c r="B9" s="12">
        <v>94703</v>
      </c>
      <c r="E9" s="11" t="s">
        <v>10</v>
      </c>
      <c r="F9" s="12">
        <v>62550</v>
      </c>
    </row>
    <row r="10" spans="1:11" x14ac:dyDescent="0.25">
      <c r="A10" s="11" t="s">
        <v>38</v>
      </c>
      <c r="B10" s="12">
        <v>73513</v>
      </c>
      <c r="E10" s="11" t="s">
        <v>3</v>
      </c>
      <c r="F10" s="12">
        <v>1250</v>
      </c>
    </row>
    <row r="11" spans="1:11" x14ac:dyDescent="0.25">
      <c r="A11" s="11" t="s">
        <v>46</v>
      </c>
      <c r="B11" s="12">
        <v>220518</v>
      </c>
      <c r="E11" s="11" t="s">
        <v>13</v>
      </c>
      <c r="F11" s="12">
        <v>361000</v>
      </c>
    </row>
    <row r="12" spans="1:11" x14ac:dyDescent="0.25">
      <c r="A12" s="11" t="s">
        <v>39</v>
      </c>
      <c r="B12" s="12">
        <v>249650</v>
      </c>
      <c r="E12" s="11" t="s">
        <v>9</v>
      </c>
      <c r="F12" s="12">
        <v>857768</v>
      </c>
      <c r="H12" s="10" t="s">
        <v>31</v>
      </c>
      <c r="I12" t="s">
        <v>33</v>
      </c>
      <c r="J12" t="s">
        <v>34</v>
      </c>
      <c r="K12" t="s">
        <v>43</v>
      </c>
    </row>
    <row r="13" spans="1:11" x14ac:dyDescent="0.25">
      <c r="A13" s="11" t="s">
        <v>47</v>
      </c>
      <c r="B13" s="12">
        <v>138445</v>
      </c>
      <c r="E13" s="11" t="s">
        <v>11</v>
      </c>
      <c r="F13" s="12">
        <v>23107.5</v>
      </c>
      <c r="H13" s="11" t="s">
        <v>5</v>
      </c>
      <c r="I13" s="12">
        <v>829769.5</v>
      </c>
      <c r="J13" s="12">
        <v>1199</v>
      </c>
      <c r="K13" s="12">
        <v>6</v>
      </c>
    </row>
    <row r="14" spans="1:11" x14ac:dyDescent="0.25">
      <c r="A14" s="11" t="s">
        <v>48</v>
      </c>
      <c r="B14" s="12">
        <v>61844.5</v>
      </c>
      <c r="H14" s="11" t="s">
        <v>7</v>
      </c>
      <c r="I14" s="12">
        <v>321007</v>
      </c>
      <c r="J14" s="12">
        <v>691</v>
      </c>
      <c r="K14" s="12">
        <v>3</v>
      </c>
    </row>
    <row r="15" spans="1:11" x14ac:dyDescent="0.25">
      <c r="A15" s="11" t="s">
        <v>40</v>
      </c>
      <c r="B15" s="12">
        <v>44762</v>
      </c>
      <c r="H15" s="11" t="s">
        <v>6</v>
      </c>
      <c r="I15" s="12">
        <v>154899</v>
      </c>
      <c r="J15" s="12">
        <v>231</v>
      </c>
      <c r="K15" s="12">
        <v>2</v>
      </c>
    </row>
    <row r="16" spans="1:11" x14ac:dyDescent="0.25">
      <c r="A16" s="11" t="s">
        <v>41</v>
      </c>
      <c r="B16" s="12">
        <v>26672</v>
      </c>
      <c r="E16" s="10" t="s">
        <v>31</v>
      </c>
      <c r="F16" t="s">
        <v>33</v>
      </c>
      <c r="H16" s="11" t="s">
        <v>32</v>
      </c>
      <c r="I16" s="12">
        <v>1305675.5</v>
      </c>
      <c r="J16" s="12">
        <v>2121</v>
      </c>
      <c r="K16" s="12">
        <v>11</v>
      </c>
    </row>
    <row r="17" spans="1:6" x14ac:dyDescent="0.25">
      <c r="A17" s="11" t="s">
        <v>42</v>
      </c>
      <c r="B17" s="12">
        <v>73672</v>
      </c>
      <c r="E17" s="11" t="s">
        <v>28</v>
      </c>
      <c r="F17" s="12">
        <v>239056</v>
      </c>
    </row>
    <row r="18" spans="1:6" x14ac:dyDescent="0.25">
      <c r="A18" s="11" t="s">
        <v>49</v>
      </c>
      <c r="B18" s="12">
        <v>14491</v>
      </c>
      <c r="E18" s="11" t="s">
        <v>29</v>
      </c>
      <c r="F18" s="12">
        <v>365108.5</v>
      </c>
    </row>
    <row r="19" spans="1:6" x14ac:dyDescent="0.25">
      <c r="A19" s="11" t="s">
        <v>50</v>
      </c>
      <c r="B19" s="12">
        <v>145595</v>
      </c>
      <c r="E19" s="11" t="s">
        <v>26</v>
      </c>
      <c r="F19" s="12">
        <v>472493</v>
      </c>
    </row>
    <row r="20" spans="1:6" x14ac:dyDescent="0.25">
      <c r="E20" s="11" t="s">
        <v>27</v>
      </c>
      <c r="F20" s="12">
        <v>229018</v>
      </c>
    </row>
    <row r="22" spans="1:6" x14ac:dyDescent="0.25">
      <c r="A22" s="10" t="s">
        <v>33</v>
      </c>
      <c r="B22" s="10" t="s">
        <v>37</v>
      </c>
    </row>
    <row r="23" spans="1:6" x14ac:dyDescent="0.25">
      <c r="A23" s="10" t="s">
        <v>31</v>
      </c>
      <c r="B23" t="s">
        <v>35</v>
      </c>
      <c r="C23" t="s">
        <v>36</v>
      </c>
      <c r="E23" s="10" t="s">
        <v>31</v>
      </c>
      <c r="F23" t="s">
        <v>33</v>
      </c>
    </row>
    <row r="24" spans="1:6" x14ac:dyDescent="0.25">
      <c r="A24" s="11" t="s">
        <v>44</v>
      </c>
      <c r="B24" s="12">
        <v>138810</v>
      </c>
      <c r="C24" s="12">
        <v>23000</v>
      </c>
      <c r="E24" s="11" t="s">
        <v>18</v>
      </c>
      <c r="F24" s="12">
        <v>236703</v>
      </c>
    </row>
    <row r="25" spans="1:6" x14ac:dyDescent="0.25">
      <c r="A25" s="11" t="s">
        <v>45</v>
      </c>
      <c r="B25" s="12">
        <v>49203</v>
      </c>
      <c r="C25" s="12">
        <v>45500</v>
      </c>
      <c r="E25" s="11" t="s">
        <v>15</v>
      </c>
      <c r="F25" s="12">
        <v>140955</v>
      </c>
    </row>
    <row r="26" spans="1:6" x14ac:dyDescent="0.25">
      <c r="A26" s="11" t="s">
        <v>38</v>
      </c>
      <c r="B26" s="12">
        <v>67088</v>
      </c>
      <c r="C26" s="12">
        <v>6425</v>
      </c>
      <c r="E26" s="11" t="s">
        <v>16</v>
      </c>
      <c r="F26" s="12">
        <v>36100</v>
      </c>
    </row>
    <row r="27" spans="1:6" x14ac:dyDescent="0.25">
      <c r="A27" s="11" t="s">
        <v>46</v>
      </c>
      <c r="B27" s="12">
        <v>119850</v>
      </c>
      <c r="C27" s="12">
        <v>100668</v>
      </c>
      <c r="E27" s="11" t="s">
        <v>22</v>
      </c>
      <c r="F27" s="12">
        <v>124016</v>
      </c>
    </row>
    <row r="28" spans="1:6" x14ac:dyDescent="0.25">
      <c r="A28" s="11" t="s">
        <v>39</v>
      </c>
      <c r="B28" s="12">
        <v>146156</v>
      </c>
      <c r="C28" s="12">
        <v>103494</v>
      </c>
      <c r="E28" s="11" t="s">
        <v>21</v>
      </c>
      <c r="F28" s="12">
        <v>48204</v>
      </c>
    </row>
    <row r="29" spans="1:6" x14ac:dyDescent="0.25">
      <c r="A29" s="11" t="s">
        <v>47</v>
      </c>
      <c r="B29" s="12">
        <v>137820</v>
      </c>
      <c r="C29" s="12">
        <v>625</v>
      </c>
      <c r="E29" s="11" t="s">
        <v>17</v>
      </c>
      <c r="F29" s="12">
        <v>206373</v>
      </c>
    </row>
    <row r="30" spans="1:6" x14ac:dyDescent="0.25">
      <c r="A30" s="11" t="s">
        <v>48</v>
      </c>
      <c r="B30" s="12">
        <v>55000</v>
      </c>
      <c r="C30" s="12">
        <v>6844.5</v>
      </c>
      <c r="E30" s="11" t="s">
        <v>24</v>
      </c>
      <c r="F30" s="12">
        <v>66836</v>
      </c>
    </row>
    <row r="31" spans="1:6" x14ac:dyDescent="0.25">
      <c r="A31" s="11" t="s">
        <v>40</v>
      </c>
      <c r="B31" s="12">
        <v>41930</v>
      </c>
      <c r="C31" s="12">
        <v>2832</v>
      </c>
      <c r="E31" s="11" t="s">
        <v>19</v>
      </c>
      <c r="F31" s="12">
        <v>33698</v>
      </c>
    </row>
    <row r="32" spans="1:6" x14ac:dyDescent="0.25">
      <c r="A32" s="11" t="s">
        <v>41</v>
      </c>
      <c r="B32" s="12">
        <v>1186</v>
      </c>
      <c r="C32" s="12">
        <v>25486</v>
      </c>
      <c r="E32" s="11" t="s">
        <v>20</v>
      </c>
      <c r="F32" s="12">
        <v>125037.5</v>
      </c>
    </row>
    <row r="33" spans="1:6" x14ac:dyDescent="0.25">
      <c r="A33" s="11" t="s">
        <v>42</v>
      </c>
      <c r="B33" s="12">
        <v>28400</v>
      </c>
      <c r="C33" s="12">
        <v>45272</v>
      </c>
      <c r="E33" s="11" t="s">
        <v>23</v>
      </c>
      <c r="F33" s="12">
        <v>88063</v>
      </c>
    </row>
    <row r="34" spans="1:6" x14ac:dyDescent="0.25">
      <c r="A34" s="11" t="s">
        <v>49</v>
      </c>
      <c r="B34" s="12">
        <v>8991</v>
      </c>
      <c r="C34" s="12">
        <v>5500</v>
      </c>
      <c r="E34" s="11" t="s">
        <v>14</v>
      </c>
      <c r="F34" s="12">
        <v>199690</v>
      </c>
    </row>
    <row r="35" spans="1:6" x14ac:dyDescent="0.25">
      <c r="A35" s="11" t="s">
        <v>50</v>
      </c>
      <c r="B35" s="12">
        <v>84595</v>
      </c>
      <c r="C35" s="12">
        <v>61000</v>
      </c>
    </row>
    <row r="36" spans="1:6" x14ac:dyDescent="0.25">
      <c r="A36" s="11" t="s">
        <v>32</v>
      </c>
      <c r="B36" s="12">
        <v>879029</v>
      </c>
      <c r="C36" s="12">
        <v>426646.5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28381-E377-4B29-B1B4-87F923E876F0}">
  <dimension ref="F78:Q89"/>
  <sheetViews>
    <sheetView showGridLines="0" tabSelected="1" zoomScale="80" zoomScaleNormal="80" workbookViewId="0">
      <selection activeCell="BK88" sqref="BK88"/>
    </sheetView>
  </sheetViews>
  <sheetFormatPr baseColWidth="10" defaultColWidth="2.7109375" defaultRowHeight="9.9499999999999993" customHeight="1" x14ac:dyDescent="0.25"/>
  <cols>
    <col min="1" max="1" width="1.42578125" customWidth="1"/>
  </cols>
  <sheetData>
    <row r="78" spans="6:17" ht="9.9499999999999993" customHeight="1" x14ac:dyDescent="0.25">
      <c r="F78" s="19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1"/>
    </row>
    <row r="79" spans="6:17" ht="9.9499999999999993" customHeight="1" x14ac:dyDescent="0.25">
      <c r="F79" s="22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4"/>
    </row>
    <row r="80" spans="6:17" ht="9.9499999999999993" customHeight="1" x14ac:dyDescent="0.25">
      <c r="F80" s="22"/>
      <c r="G80" s="29">
        <f>GETPIVOTDATA("[Measures].[Somme de Sale_amt]",TCD!$H$12)</f>
        <v>1305675.5</v>
      </c>
      <c r="H80" s="29"/>
      <c r="I80" s="29"/>
      <c r="J80" s="29"/>
      <c r="K80" s="29"/>
      <c r="L80" s="29"/>
      <c r="M80" s="29"/>
      <c r="N80" s="29"/>
      <c r="O80" s="29"/>
      <c r="P80" s="29"/>
      <c r="Q80" s="24"/>
    </row>
    <row r="81" spans="6:17" ht="9.9499999999999993" customHeight="1" x14ac:dyDescent="0.25">
      <c r="F81" s="22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4"/>
    </row>
    <row r="82" spans="6:17" ht="9.9499999999999993" customHeight="1" x14ac:dyDescent="0.25">
      <c r="F82" s="22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4"/>
    </row>
    <row r="83" spans="6:17" ht="9.9499999999999993" customHeight="1" x14ac:dyDescent="0.25">
      <c r="F83" s="22"/>
      <c r="G83" s="29">
        <f>GETPIVOTDATA("[Measures].[Somme de Units]",TCD!$H$12)</f>
        <v>2121</v>
      </c>
      <c r="H83" s="29"/>
      <c r="I83" s="29"/>
      <c r="J83" s="29"/>
      <c r="K83" s="29"/>
      <c r="L83" s="29"/>
      <c r="M83" s="29"/>
      <c r="N83" s="29"/>
      <c r="O83" s="29"/>
      <c r="P83" s="29"/>
      <c r="Q83" s="24"/>
    </row>
    <row r="84" spans="6:17" ht="9.9499999999999993" customHeight="1" x14ac:dyDescent="0.25">
      <c r="F84" s="22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4"/>
    </row>
    <row r="85" spans="6:17" ht="9.9499999999999993" customHeight="1" x14ac:dyDescent="0.25">
      <c r="F85" s="22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4"/>
    </row>
    <row r="86" spans="6:17" ht="9.9499999999999993" customHeight="1" x14ac:dyDescent="0.25">
      <c r="F86" s="22"/>
      <c r="G86" s="29">
        <f>GETPIVOTDATA("[Measures].[Total distinct de SalesMan]",TCD!$H$12)</f>
        <v>11</v>
      </c>
      <c r="H86" s="29"/>
      <c r="I86" s="29"/>
      <c r="J86" s="29"/>
      <c r="K86" s="29"/>
      <c r="L86" s="29"/>
      <c r="M86" s="29"/>
      <c r="N86" s="29"/>
      <c r="O86" s="29"/>
      <c r="P86" s="29"/>
      <c r="Q86" s="24"/>
    </row>
    <row r="87" spans="6:17" ht="9.9499999999999993" customHeight="1" x14ac:dyDescent="0.25">
      <c r="F87" s="22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4"/>
    </row>
    <row r="88" spans="6:17" ht="9.9499999999999993" customHeight="1" x14ac:dyDescent="0.25">
      <c r="F88" s="22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4"/>
    </row>
    <row r="89" spans="6:17" ht="9.9499999999999993" customHeight="1" x14ac:dyDescent="0.25">
      <c r="F89" s="25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7"/>
    </row>
  </sheetData>
  <mergeCells count="3">
    <mergeCell ref="G80:P81"/>
    <mergeCell ref="G83:P84"/>
    <mergeCell ref="G86:P87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tructure xmlns="thqs">{"Id":"00000000-0000-0000-0000-000000000000","ParentId":null,"Name":"Root","IsExpanded":false,"Children":[]}</Structure>
</file>

<file path=customXml/itemProps1.xml><?xml version="1.0" encoding="utf-8"?>
<ds:datastoreItem xmlns:ds="http://schemas.openxmlformats.org/officeDocument/2006/customXml" ds:itemID="{A901E35E-065E-4A2A-895E-508E746953CD}">
  <ds:schemaRefs>
    <ds:schemaRef ds:uri="thq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Données</vt:lpstr>
      <vt:lpstr>TCD</vt:lpstr>
      <vt:lpstr>Dashboard</vt:lpstr>
    </vt:vector>
  </TitlesOfParts>
  <Company>Contextures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 Excel Data</dc:title>
  <dc:subject>Sample Excel Data</dc:subject>
  <dc:creator>Debra Dalgleish</dc:creator>
  <cp:keywords>Excel data, sample data</cp:keywords>
  <dc:description>Sample sales orders for use in testing Excel data</dc:description>
  <cp:lastModifiedBy>Moumouni Kabore</cp:lastModifiedBy>
  <dcterms:created xsi:type="dcterms:W3CDTF">2004-05-01T18:16:56Z</dcterms:created>
  <dcterms:modified xsi:type="dcterms:W3CDTF">2026-10-03T17:20:40Z</dcterms:modified>
  <cp:category>Excel</cp:category>
</cp:coreProperties>
</file>